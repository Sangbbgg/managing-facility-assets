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\"/>
    </mc:Choice>
  </mc:AlternateContent>
  <xr:revisionPtr revIDLastSave="0" documentId="8_{7AB4441C-15B3-4BB7-ABEC-D06C103CBDFE}" xr6:coauthVersionLast="47" xr6:coauthVersionMax="47" xr10:uidLastSave="{00000000-0000-0000-0000-000000000000}"/>
  <bookViews>
    <workbookView xWindow="-120" yWindow="-120" windowWidth="38640" windowHeight="21120" xr2:uid="{265080E3-325A-4332-BD5D-6EB5DD56E01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C19" i="1"/>
  <c r="C18" i="1"/>
  <c r="C17" i="1"/>
  <c r="C16" i="1"/>
  <c r="E15" i="1"/>
  <c r="B15" i="1"/>
  <c r="E14" i="1"/>
  <c r="B14" i="1"/>
  <c r="E13" i="1"/>
  <c r="B13" i="1"/>
  <c r="E12" i="1"/>
  <c r="B12" i="1"/>
  <c r="B10" i="1"/>
  <c r="B9" i="1"/>
  <c r="B8" i="1"/>
  <c r="B7" i="1"/>
  <c r="C5" i="1"/>
  <c r="B5" i="1"/>
  <c r="A3" i="1"/>
</calcChain>
</file>

<file path=xl/sharedStrings.xml><?xml version="1.0" encoding="utf-8"?>
<sst xmlns="http://schemas.openxmlformats.org/spreadsheetml/2006/main" count="31" uniqueCount="31">
  <si>
    <t>1.  자산현황</t>
  </si>
  <si>
    <t xml:space="preserve">자산번호  :                               </t>
  </si>
  <si>
    <t>등록일자  :</t>
  </si>
  <si>
    <t>항목</t>
  </si>
  <si>
    <t>내역</t>
  </si>
  <si>
    <t>비고</t>
  </si>
  <si>
    <t>MODEL</t>
  </si>
  <si>
    <t>S/N</t>
  </si>
  <si>
    <t>CPU</t>
  </si>
  <si>
    <t>MEMORY</t>
  </si>
  <si>
    <t>MEMORY
PART
NUMBER</t>
  </si>
  <si>
    <t>PartNumber</t>
    <phoneticPr fontId="11" type="noConversion"/>
  </si>
  <si>
    <t>SerialNumber</t>
    <phoneticPr fontId="11" type="noConversion"/>
  </si>
  <si>
    <t>NETWORK</t>
  </si>
  <si>
    <t>IPv4 Address</t>
  </si>
  <si>
    <t>Subnet  Mask</t>
  </si>
  <si>
    <t>Default Gateway</t>
  </si>
  <si>
    <t>DNS Servers</t>
  </si>
  <si>
    <t>NETWORK ADAPTER
(MAC Address)</t>
  </si>
  <si>
    <t>HOSTNAME</t>
  </si>
  <si>
    <t>OS  이름</t>
  </si>
  <si>
    <t>OS  버전</t>
  </si>
  <si>
    <t>System  버전</t>
  </si>
  <si>
    <t>백신</t>
  </si>
  <si>
    <t>제품버전</t>
  </si>
  <si>
    <t>DISK</t>
  </si>
  <si>
    <t>DISPLAY</t>
  </si>
  <si>
    <t>DVD / CDROM</t>
  </si>
  <si>
    <t>제어  S/W</t>
  </si>
  <si>
    <t>납품일</t>
    <phoneticPr fontId="11" type="noConversion"/>
  </si>
  <si>
    <t>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</si>
</sst>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14" x14ac:knownFonts="1">
    <font>
      <sz val="11"/>
      <color theme="1"/>
      <name val="맑은 고딕"/>
      <family val="2"/>
      <charset val="129"/>
      <scheme val="minor"/>
    </font>
    <font>
      <b/>
      <sz val="12"/>
      <name val="바탕"/>
      <family val="1"/>
    </font>
    <font>
      <sz val="8"/>
      <name val="맑은 고딕"/>
      <family val="2"/>
      <charset val="129"/>
      <scheme val="minor"/>
    </font>
    <font>
      <sz val="10"/>
      <name val="바탕"/>
      <family val="1"/>
    </font>
    <font>
      <sz val="10"/>
      <name val="바탕"/>
      <family val="1"/>
      <charset val="129"/>
    </font>
    <font>
      <b/>
      <u/>
      <sz val="17"/>
      <name val="바탕"/>
      <family val="1"/>
      <charset val="129"/>
    </font>
    <font>
      <sz val="11"/>
      <color theme="1"/>
      <name val="맑은 고딕"/>
      <family val="2"/>
      <scheme val="minor"/>
    </font>
    <font>
      <sz val="11"/>
      <color theme="1"/>
      <name val="바탕"/>
      <family val="1"/>
      <charset val="129"/>
    </font>
    <font>
      <sz val="9"/>
      <name val="바탕"/>
      <family val="1"/>
      <charset val="129"/>
    </font>
    <font>
      <sz val="8"/>
      <name val="바탕"/>
      <family val="1"/>
      <charset val="129"/>
    </font>
    <font>
      <sz val="8"/>
      <color rgb="FF000000"/>
      <name val="바탕"/>
      <family val="1"/>
      <charset val="129"/>
    </font>
    <font>
      <sz val="8"/>
      <name val="돋움"/>
      <family val="3"/>
      <charset val="129"/>
    </font>
    <font>
      <sz val="8"/>
      <color rgb="FF000000"/>
      <name val="Times New Roman"/>
      <family val="1"/>
    </font>
    <font>
      <b/>
      <sz val="9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AEAEAE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vertical="top" wrapText="1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shrinkToFit="1"/>
    </xf>
    <xf numFmtId="0" fontId="7" fillId="0" borderId="0" xfId="1" applyFont="1" applyAlignment="1">
      <alignment horizontal="left" vertical="center" shrinkToFit="1"/>
    </xf>
    <xf numFmtId="0" fontId="7" fillId="0" borderId="0" xfId="1" applyFont="1" applyAlignment="1">
      <alignment horizontal="right" vertical="center"/>
    </xf>
    <xf numFmtId="14" fontId="7" fillId="0" borderId="1" xfId="1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0" fontId="10" fillId="0" borderId="3" xfId="0" applyFont="1" applyBorder="1" applyAlignment="1">
      <alignment vertical="center" shrinkToFit="1"/>
    </xf>
    <xf numFmtId="0" fontId="10" fillId="0" borderId="4" xfId="0" applyFont="1" applyBorder="1" applyAlignment="1">
      <alignment vertical="center" shrinkToFit="1"/>
    </xf>
    <xf numFmtId="0" fontId="8" fillId="0" borderId="2" xfId="0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39C7AA74-C869-4097-AAEC-B9D6BB8D3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4805;&#49345;&#51312;&#49324;\25&#45380;%20&#54805;&#49345;&#51312;&#49324;\&#50672;&#47308;&#51204;&#51648;_&#54805;&#49345;&#51312;&#49324;(241223_&#50672;&#47308;&#51204;&#51648;_OPC_Client_&#52628;&#44032;&#4851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재생 연료전지 형상 관리대장(24.1.1)"/>
      <sheetName val="신재생 연료전지 형상 관리대장(24.)5단계 준공일 기준"/>
      <sheetName val="이력관리"/>
      <sheetName val="DB"/>
      <sheetName val="스위치 포트 수량"/>
      <sheetName val="1.자산현황_서버"/>
      <sheetName val="1.자산현황_서버_SW"/>
      <sheetName val="2.프로그램"/>
      <sheetName val="3.프로세스"/>
      <sheetName val="4.Netstat"/>
      <sheetName val="5.Hotfix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R1" t="str">
            <v>csproduct.txt</v>
          </cell>
          <cell r="S1" t="str">
            <v>csproduct.txt</v>
          </cell>
          <cell r="T1" t="str">
            <v>cpu.txt</v>
          </cell>
          <cell r="U1" t="str">
            <v>memory.txt</v>
          </cell>
          <cell r="V1" t="str">
            <v>memory.txt</v>
          </cell>
          <cell r="W1" t="str">
            <v>memory.txt</v>
          </cell>
          <cell r="X1" t="str">
            <v>memory.txt</v>
          </cell>
          <cell r="Y1" t="str">
            <v>memory.txt</v>
          </cell>
          <cell r="Z1" t="str">
            <v>memory.txt</v>
          </cell>
          <cell r="AA1" t="str">
            <v>memory.txt</v>
          </cell>
          <cell r="AB1" t="str">
            <v>memory.txt</v>
          </cell>
          <cell r="AC1" t="str">
            <v>memory.txt</v>
          </cell>
          <cell r="AD1" t="str">
            <v>ipconfig_all.txt</v>
          </cell>
          <cell r="AE1" t="str">
            <v>ipconfig_all.txt</v>
          </cell>
          <cell r="AF1" t="str">
            <v>ipconfig_all.txt</v>
          </cell>
          <cell r="AG1" t="str">
            <v>ipconfig_all.txt</v>
          </cell>
          <cell r="AH1" t="str">
            <v>ipconfig_all.txt</v>
          </cell>
          <cell r="AI1" t="str">
            <v>ipconfig_all.txt</v>
          </cell>
          <cell r="AJ1" t="str">
            <v>ipconfig_all.txt</v>
          </cell>
          <cell r="AK1" t="str">
            <v>ipconfig_all.txt</v>
          </cell>
          <cell r="AL1" t="str">
            <v>ipconfig_all.txt</v>
          </cell>
          <cell r="AM1" t="str">
            <v>ipconfig_all.txt</v>
          </cell>
          <cell r="AN1" t="str">
            <v>ipconfig_all.txt</v>
          </cell>
          <cell r="AO1" t="str">
            <v>ipconfig_all.txt</v>
          </cell>
          <cell r="AP1" t="str">
            <v>systeminfo.txt</v>
          </cell>
          <cell r="AQ1" t="str">
            <v>systeminfo.txt</v>
          </cell>
          <cell r="AR1" t="str">
            <v>systeminfo.txt</v>
          </cell>
          <cell r="AS1" t="str">
            <v>systeminfo.txt</v>
          </cell>
          <cell r="AV1" t="str">
            <v>disk.txt</v>
          </cell>
          <cell r="AW1" t="str">
            <v>disk.txt</v>
          </cell>
          <cell r="AX1" t="str">
            <v>DxDiag.txt</v>
          </cell>
          <cell r="AY1" t="str">
            <v>DxDiag.txt</v>
          </cell>
          <cell r="AZ1" t="str">
            <v>DxDiag.txt</v>
          </cell>
          <cell r="BA1" t="str">
            <v>DxDiag.txt</v>
          </cell>
          <cell r="BB1" t="str">
            <v>DxDiag.txt</v>
          </cell>
          <cell r="BC1" t="str">
            <v>DxDiag.txt</v>
          </cell>
          <cell r="BD1" t="str">
            <v>DxDiag.txt</v>
          </cell>
        </row>
        <row r="2">
          <cell r="F2" t="str">
            <v>NO</v>
          </cell>
          <cell r="G2" t="str">
            <v>분류코드</v>
          </cell>
          <cell r="H2" t="str">
            <v>구분</v>
          </cell>
          <cell r="I2" t="str">
            <v>대상장비</v>
          </cell>
          <cell r="J2" t="str">
            <v>설비명</v>
          </cell>
          <cell r="K2" t="str">
            <v>설비용도</v>
          </cell>
          <cell r="L2" t="str">
            <v>설치위치</v>
          </cell>
          <cell r="M2" t="str">
            <v>사용자IP</v>
          </cell>
          <cell r="N2" t="str">
            <v>중요도</v>
          </cell>
          <cell r="O2" t="str">
            <v>모델명</v>
          </cell>
          <cell r="P2" t="str">
            <v>OS</v>
          </cell>
          <cell r="Q2" t="str">
            <v xml:space="preserve"> 비고</v>
          </cell>
          <cell r="R2" t="str">
            <v>MODEL</v>
          </cell>
          <cell r="S2" t="str">
            <v>S/N</v>
          </cell>
          <cell r="T2" t="str">
            <v>CPU</v>
          </cell>
          <cell r="U2" t="str">
            <v>MEMORY</v>
          </cell>
          <cell r="V2" t="str">
            <v>PartNumber1</v>
          </cell>
          <cell r="W2" t="str">
            <v>SerialNumber1</v>
          </cell>
          <cell r="X2" t="str">
            <v>PartNumber2</v>
          </cell>
          <cell r="Y2" t="str">
            <v>SerialNumber2</v>
          </cell>
          <cell r="Z2" t="str">
            <v>PartNumber3</v>
          </cell>
          <cell r="AA2" t="str">
            <v>SerialNumber3</v>
          </cell>
          <cell r="AB2" t="str">
            <v>PartNumber4</v>
          </cell>
          <cell r="AC2" t="str">
            <v>SerialNumber4</v>
          </cell>
          <cell r="AD2" t="str">
            <v>IPv4 Address</v>
          </cell>
          <cell r="AE2" t="str">
            <v>Subnet  Mask</v>
          </cell>
          <cell r="AF2" t="str">
            <v>Default Gateway</v>
          </cell>
          <cell r="AG2" t="str">
            <v>DNS Servers</v>
          </cell>
          <cell r="AH2" t="str">
            <v>net adpata1</v>
          </cell>
          <cell r="AI2" t="str">
            <v>mac1</v>
          </cell>
          <cell r="AJ2" t="str">
            <v>net adpata2</v>
          </cell>
          <cell r="AK2" t="str">
            <v>mac2</v>
          </cell>
          <cell r="AL2" t="str">
            <v>net adpata3</v>
          </cell>
          <cell r="AM2" t="str">
            <v>mac3</v>
          </cell>
          <cell r="AN2" t="str">
            <v>net adpata4</v>
          </cell>
          <cell r="AO2" t="str">
            <v>mac4</v>
          </cell>
          <cell r="AP2" t="str">
            <v>hostname</v>
          </cell>
          <cell r="AQ2" t="str">
            <v>OS 이름</v>
          </cell>
          <cell r="AR2" t="str">
            <v>OS 버전</v>
          </cell>
          <cell r="AS2" t="str">
            <v>system 버전</v>
          </cell>
          <cell r="AT2" t="str">
            <v>백신</v>
          </cell>
          <cell r="AU2" t="str">
            <v>제품버전</v>
          </cell>
          <cell r="AV2" t="str">
            <v>DISK1</v>
          </cell>
          <cell r="AW2" t="str">
            <v>DISK2</v>
          </cell>
          <cell r="AX2" t="str">
            <v>DISPLAY_driver1</v>
          </cell>
          <cell r="AY2" t="str">
            <v>DISPLAY_cardname1</v>
          </cell>
          <cell r="AZ2" t="str">
            <v>DISPLAY_driver2</v>
          </cell>
          <cell r="BA2" t="str">
            <v>DISPLAY_cardname2</v>
          </cell>
          <cell r="BB2" t="str">
            <v>DISPLAY_driver3</v>
          </cell>
          <cell r="BC2" t="str">
            <v>DISPLAY_cardname3</v>
          </cell>
          <cell r="BD2" t="str">
            <v>DVD/CDROM</v>
          </cell>
          <cell r="BE2" t="str">
            <v>제어S/W</v>
          </cell>
          <cell r="BF2" t="str">
            <v>특이사항</v>
          </cell>
          <cell r="CG2" t="str">
            <v>납품일</v>
          </cell>
        </row>
        <row r="3">
          <cell r="F3">
            <v>1</v>
          </cell>
          <cell r="G3" t="str">
            <v>IC-SA-SER-0001</v>
          </cell>
          <cell r="H3" t="str">
            <v>서버</v>
          </cell>
          <cell r="I3" t="str">
            <v>연료전지</v>
          </cell>
          <cell r="J3" t="str">
            <v>1단계 EWS DROP 200</v>
          </cell>
          <cell r="K3" t="str">
            <v>연료전지운영제어</v>
          </cell>
          <cell r="L3" t="str">
            <v>연료전지 1단계</v>
          </cell>
          <cell r="M3" t="str">
            <v>192.168.2.200</v>
          </cell>
          <cell r="N3" t="str">
            <v>중</v>
          </cell>
          <cell r="O3" t="str">
            <v>DELL PowerEdge T430</v>
          </cell>
          <cell r="P3" t="str">
            <v>Win server 2012</v>
          </cell>
          <cell r="R3" t="str">
            <v>PowerEdge T430</v>
          </cell>
          <cell r="S3" t="str">
            <v>2KCDCM2</v>
          </cell>
          <cell r="T3" t="str">
            <v>Intel(R) Xeon(R) CPU E5-2623 v3 @ 3.00GHz</v>
          </cell>
          <cell r="U3" t="str">
            <v>4GB * 2EA</v>
          </cell>
          <cell r="V3" t="str">
            <v>HMA451R7AFR8N-UH</v>
          </cell>
          <cell r="W3" t="str">
            <v>81B184AC</v>
          </cell>
          <cell r="X3" t="str">
            <v>HMA451R7AFR8N-UH</v>
          </cell>
          <cell r="Y3" t="str">
            <v>81B184AC</v>
          </cell>
          <cell r="AD3" t="str">
            <v>192.168.2.200</v>
          </cell>
          <cell r="AE3" t="str">
            <v>255.255.254.0</v>
          </cell>
          <cell r="AF3" t="str">
            <v>192.168.3.254</v>
          </cell>
          <cell r="AG3" t="str">
            <v>127.0.0.1</v>
          </cell>
          <cell r="AH3" t="str">
            <v>Broadcom NetXtreme Gigabit Ethernet</v>
          </cell>
          <cell r="AI3" t="str">
            <v>D0-94-66-1C-7F-C6</v>
          </cell>
          <cell r="AP3" t="str">
            <v>DROP200</v>
          </cell>
          <cell r="AQ3" t="str">
            <v>Microsoft Windows Server 2012 R2 Standard</v>
          </cell>
          <cell r="AR3" t="str">
            <v>6.3.9600 N/A Build 9600</v>
          </cell>
          <cell r="AS3" t="str">
            <v>x64-based PC</v>
          </cell>
          <cell r="AT3" t="str">
            <v>McAfee Endpoint Security</v>
          </cell>
          <cell r="AU3">
            <v>10.7</v>
          </cell>
          <cell r="AV3" t="str">
            <v>DELL PERC H730</v>
          </cell>
          <cell r="AW3" t="str">
            <v>DELL RD1000</v>
          </cell>
          <cell r="AX3" t="str">
            <v>WDDM 1.3</v>
          </cell>
          <cell r="AY3" t="str">
            <v>Microsoft Basic Display Adapter</v>
          </cell>
          <cell r="BD3" t="str">
            <v>PLDS DVD+-RW DH-16AES</v>
          </cell>
          <cell r="BE3" t="str">
            <v>Ovation</v>
          </cell>
          <cell r="CG3">
            <v>42887</v>
          </cell>
        </row>
        <row r="4">
          <cell r="F4">
            <v>2</v>
          </cell>
          <cell r="G4" t="str">
            <v>IC-SA-SER-0002</v>
          </cell>
          <cell r="H4" t="str">
            <v>서버</v>
          </cell>
          <cell r="I4" t="str">
            <v>연료전지</v>
          </cell>
          <cell r="J4" t="str">
            <v>OPC SVR(PRI) DROP 181</v>
          </cell>
          <cell r="K4" t="str">
            <v>OPC 서버</v>
          </cell>
          <cell r="L4" t="str">
            <v>연료전지 1단계</v>
          </cell>
          <cell r="M4" t="str">
            <v>192.168.2.181</v>
          </cell>
          <cell r="N4" t="str">
            <v>하</v>
          </cell>
          <cell r="O4" t="str">
            <v>DELL OptiPlex XE2</v>
          </cell>
          <cell r="P4" t="str">
            <v>Win10 2016 LTSB</v>
          </cell>
          <cell r="R4" t="str">
            <v>OptiPlex XE2</v>
          </cell>
          <cell r="S4" t="str">
            <v>2KBDCM2</v>
          </cell>
          <cell r="T4" t="str">
            <v>Intel(R) Core(TM) i5-4570S CPU @ 2.90GHz</v>
          </cell>
          <cell r="U4" t="str">
            <v>4GB * 2EA</v>
          </cell>
          <cell r="V4" t="str">
            <v>KP4T2F-PSB</v>
          </cell>
          <cell r="W4" t="str">
            <v>0920D80360D9</v>
          </cell>
          <cell r="X4" t="str">
            <v>KP4T2F-PSB</v>
          </cell>
          <cell r="Y4" t="str">
            <v>0920BD0360DA</v>
          </cell>
          <cell r="AD4" t="str">
            <v>192.168.2.181</v>
          </cell>
          <cell r="AE4" t="str">
            <v>255.255.254.0</v>
          </cell>
          <cell r="AG4" t="str">
            <v>192.168.2.200</v>
          </cell>
          <cell r="AH4" t="str">
            <v>Broadcom NetXtreme Gigabit Ethernet</v>
          </cell>
          <cell r="AI4" t="str">
            <v>00-0A-F7-BB-E2-D8</v>
          </cell>
          <cell r="AP4" t="str">
            <v>DROP181</v>
          </cell>
          <cell r="AQ4" t="str">
            <v>Microsoft Windows 10 Enterprise 2016 LTSB</v>
          </cell>
          <cell r="AR4" t="str">
            <v>10.0.14393 N/A Build 14393</v>
          </cell>
          <cell r="AS4" t="str">
            <v>x64-based PC</v>
          </cell>
          <cell r="AT4" t="str">
            <v>McAfee Endpoint Security</v>
          </cell>
          <cell r="AU4">
            <v>10.7</v>
          </cell>
          <cell r="AV4" t="str">
            <v>WDC WD10EZEX-75WN4A0</v>
          </cell>
          <cell r="AX4" t="str">
            <v>WDDM 1.3</v>
          </cell>
          <cell r="AY4" t="str">
            <v>Microsoft Basic Display Adapter</v>
          </cell>
          <cell r="BD4" t="str">
            <v>HL-DT-ST DVD+-RW GHB0N</v>
          </cell>
          <cell r="BE4" t="str">
            <v>Ovation</v>
          </cell>
          <cell r="CG4">
            <v>42887</v>
          </cell>
        </row>
        <row r="5">
          <cell r="F5">
            <v>3</v>
          </cell>
          <cell r="G5" t="str">
            <v>IC-SA-SER-0003</v>
          </cell>
          <cell r="H5" t="str">
            <v>서버</v>
          </cell>
          <cell r="I5" t="str">
            <v>연료전지</v>
          </cell>
          <cell r="J5" t="str">
            <v>OPC SVR(SEC) DROP 182</v>
          </cell>
          <cell r="K5" t="str">
            <v>OPC 서버#2</v>
          </cell>
          <cell r="L5" t="str">
            <v>연료전지 1단계</v>
          </cell>
          <cell r="M5" t="str">
            <v>192.168.2.182</v>
          </cell>
          <cell r="N5" t="str">
            <v>하</v>
          </cell>
          <cell r="O5" t="str">
            <v>DELL OptiPlex XE2</v>
          </cell>
          <cell r="P5" t="str">
            <v>Win10 2016 LTSB</v>
          </cell>
          <cell r="R5" t="str">
            <v>OptiPlex XE2</v>
          </cell>
          <cell r="S5" t="str">
            <v>2KBJCM2</v>
          </cell>
          <cell r="T5" t="str">
            <v>Intel(R) Core(TM) i5-4570S CPU @ 2.90GHz</v>
          </cell>
          <cell r="U5" t="str">
            <v>4GB * 2EA</v>
          </cell>
          <cell r="V5" t="str">
            <v>KP4T2F-PSB</v>
          </cell>
          <cell r="W5" t="str">
            <v>0920B50360DC</v>
          </cell>
          <cell r="X5" t="str">
            <v>KP4T2F-PSB</v>
          </cell>
          <cell r="Y5" t="str">
            <v>0920E10360D3</v>
          </cell>
          <cell r="AD5" t="str">
            <v>192.168.2.182</v>
          </cell>
          <cell r="AE5" t="str">
            <v>255.255.254.0</v>
          </cell>
          <cell r="AG5" t="str">
            <v>192.168.2.200</v>
          </cell>
          <cell r="AH5" t="str">
            <v>Broadcom NetXtreme Gigabit Ethernet</v>
          </cell>
          <cell r="AI5" t="str">
            <v>00-0A-F7-BB-E2-DC</v>
          </cell>
          <cell r="AP5" t="str">
            <v>DROP182</v>
          </cell>
          <cell r="AQ5" t="str">
            <v>Microsoft Windows 10 Enterprise 2016 LTSB</v>
          </cell>
          <cell r="AR5" t="str">
            <v>10.0.14393 N/A Build 14393</v>
          </cell>
          <cell r="AS5" t="str">
            <v>x64-based PC</v>
          </cell>
          <cell r="AT5" t="str">
            <v>McAfee Endpoint Security</v>
          </cell>
          <cell r="AU5">
            <v>10.7</v>
          </cell>
          <cell r="AV5" t="str">
            <v>WDC WD10EZEX-75WN4A0</v>
          </cell>
          <cell r="AX5" t="str">
            <v>WDDM 1.3</v>
          </cell>
          <cell r="AY5" t="str">
            <v>Microsoft Basic Display Adapter</v>
          </cell>
          <cell r="BD5" t="str">
            <v>HL-DT-ST DVD+-RW GHB0N</v>
          </cell>
          <cell r="BE5" t="str">
            <v>Ovation</v>
          </cell>
          <cell r="CG5">
            <v>42887</v>
          </cell>
        </row>
        <row r="6">
          <cell r="F6">
            <v>4</v>
          </cell>
          <cell r="G6" t="str">
            <v>IC-SA-SER-0004</v>
          </cell>
          <cell r="H6" t="str">
            <v>서버</v>
          </cell>
          <cell r="I6" t="str">
            <v>연료전지</v>
          </cell>
          <cell r="J6" t="str">
            <v>2단계 EWS DROP 201</v>
          </cell>
          <cell r="K6" t="str">
            <v>연료전지운영제어</v>
          </cell>
          <cell r="L6" t="str">
            <v>연료전지 2단계</v>
          </cell>
          <cell r="M6" t="str">
            <v>192.168.2.201</v>
          </cell>
          <cell r="N6" t="str">
            <v>중</v>
          </cell>
          <cell r="O6" t="str">
            <v>DELL PowerEdge T430</v>
          </cell>
          <cell r="P6" t="str">
            <v>Win server 2012</v>
          </cell>
          <cell r="R6" t="str">
            <v>PowerEdge T430</v>
          </cell>
          <cell r="S6" t="str">
            <v>19PK0R2</v>
          </cell>
          <cell r="T6" t="str">
            <v>Xeon(R) CPU E5-2623 v3 @ 3.00GHz * 2EA</v>
          </cell>
          <cell r="U6" t="str">
            <v>8GB * 2EA</v>
          </cell>
          <cell r="V6" t="str">
            <v>M393A1G43EB1-CRC</v>
          </cell>
          <cell r="W6" t="str">
            <v>33D511EF</v>
          </cell>
          <cell r="X6" t="str">
            <v>M393A1G43EB1-CRC</v>
          </cell>
          <cell r="Y6" t="str">
            <v>33CC4C74</v>
          </cell>
          <cell r="AD6" t="str">
            <v>192.168.2.201</v>
          </cell>
          <cell r="AE6" t="str">
            <v>255.255.254.0</v>
          </cell>
          <cell r="AF6" t="str">
            <v>192.168.3.254</v>
          </cell>
          <cell r="AG6" t="str">
            <v>192.168.2.200</v>
          </cell>
          <cell r="AH6" t="str">
            <v>Broadcom NetXtreme Gigabit Ethernet #3</v>
          </cell>
          <cell r="AI6" t="str">
            <v>00-0A-F7-E8-78-44</v>
          </cell>
          <cell r="AP6" t="str">
            <v>DROP201</v>
          </cell>
          <cell r="AQ6" t="str">
            <v>Microsoft Windows Server 2012 R2 Standard</v>
          </cell>
          <cell r="AR6" t="str">
            <v>6.3.9600 N/A Build 9600</v>
          </cell>
          <cell r="AS6" t="str">
            <v>x64-based PC</v>
          </cell>
          <cell r="AT6" t="str">
            <v>McAfee Endpoint Security</v>
          </cell>
          <cell r="AU6">
            <v>10.7</v>
          </cell>
          <cell r="AV6" t="str">
            <v>DELL PERC H730</v>
          </cell>
          <cell r="AW6" t="str">
            <v>DELL RD1000</v>
          </cell>
          <cell r="AX6" t="str">
            <v>WDDM 1.3</v>
          </cell>
          <cell r="AY6" t="str">
            <v>NVIDIA NVS 510</v>
          </cell>
          <cell r="BD6" t="str">
            <v>PLDS DVD+-RW DH-16AES</v>
          </cell>
          <cell r="BE6" t="str">
            <v>Ovation</v>
          </cell>
          <cell r="CG6">
            <v>43497</v>
          </cell>
        </row>
        <row r="7">
          <cell r="F7">
            <v>5</v>
          </cell>
          <cell r="G7" t="str">
            <v>IC-SA-SER-0005</v>
          </cell>
          <cell r="H7" t="str">
            <v>서버</v>
          </cell>
          <cell r="I7" t="str">
            <v>연료전지</v>
          </cell>
          <cell r="J7" t="str">
            <v>3단계 EWS DROP 202</v>
          </cell>
          <cell r="K7" t="str">
            <v>연료전지운영제어</v>
          </cell>
          <cell r="L7" t="str">
            <v>연료전지 3단계</v>
          </cell>
          <cell r="M7" t="str">
            <v>192.168.2.202</v>
          </cell>
          <cell r="N7" t="str">
            <v>중</v>
          </cell>
          <cell r="O7" t="str">
            <v>DELL PowerEdge T440</v>
          </cell>
          <cell r="P7" t="str">
            <v>Win server 2012</v>
          </cell>
          <cell r="R7" t="str">
            <v>PowerEdge T440</v>
          </cell>
          <cell r="S7" t="str">
            <v>9V0QCT2</v>
          </cell>
          <cell r="T7" t="str">
            <v>Intel(R) Xeon(R) Silver 4112 CPU @ 2.60GHz</v>
          </cell>
          <cell r="U7" t="str">
            <v>8GB * 2EA</v>
          </cell>
          <cell r="V7" t="str">
            <v>9ASF1G72PZ-2G6D1</v>
          </cell>
          <cell r="W7" t="str">
            <v>1FD2F017</v>
          </cell>
          <cell r="X7" t="str">
            <v>9ASF1G72PZ-2G6D1</v>
          </cell>
          <cell r="Y7" t="str">
            <v>1FD2F023</v>
          </cell>
          <cell r="AD7" t="str">
            <v>192.168.2.202</v>
          </cell>
          <cell r="AE7" t="str">
            <v>255.255.254.0</v>
          </cell>
          <cell r="AF7" t="str">
            <v>192.168.3.254</v>
          </cell>
          <cell r="AG7" t="str">
            <v>192.168.2.200</v>
          </cell>
          <cell r="AH7" t="str">
            <v>Microsoft Network Adapter Multiplexor Driver</v>
          </cell>
          <cell r="AI7" t="str">
            <v>B0-26-28-1C-55-38</v>
          </cell>
          <cell r="AP7" t="str">
            <v>DROP202</v>
          </cell>
          <cell r="AQ7" t="str">
            <v>Microsoft Windows Server 2012 R2 Standard</v>
          </cell>
          <cell r="AR7" t="str">
            <v>6.3.9600 N/A 빌드 9600</v>
          </cell>
          <cell r="AS7" t="str">
            <v>x64-based PC</v>
          </cell>
          <cell r="AT7" t="str">
            <v>McAfee Endpoint Security</v>
          </cell>
          <cell r="AU7">
            <v>10.7</v>
          </cell>
          <cell r="AV7" t="str">
            <v>DELL PERC H730P Adp SCSI Disk Device</v>
          </cell>
          <cell r="AW7" t="str">
            <v>DELL PERC H730P Adp SCSI Disk Device</v>
          </cell>
          <cell r="AX7" t="str">
            <v>WDDM 1.3</v>
          </cell>
          <cell r="AY7" t="str">
            <v>Matrox G200eW3 (Nuvoton) WDDM 1.2</v>
          </cell>
          <cell r="BD7" t="str">
            <v>HL-DT-ST DVD+-RW GU90N</v>
          </cell>
          <cell r="BE7" t="str">
            <v>Ovation</v>
          </cell>
          <cell r="CG7">
            <v>43739</v>
          </cell>
        </row>
        <row r="8">
          <cell r="F8">
            <v>6</v>
          </cell>
          <cell r="G8" t="str">
            <v>IC-SA-SER-0006</v>
          </cell>
          <cell r="H8" t="str">
            <v>서버</v>
          </cell>
          <cell r="I8" t="str">
            <v>연료전지</v>
          </cell>
          <cell r="J8" t="str">
            <v>OPH#2 DROP 161</v>
          </cell>
          <cell r="K8" t="str">
            <v>연료전지운영제어</v>
          </cell>
          <cell r="L8" t="str">
            <v>연료전지 3단계</v>
          </cell>
          <cell r="M8" t="str">
            <v>192.168.2.161</v>
          </cell>
          <cell r="N8" t="str">
            <v>중</v>
          </cell>
          <cell r="O8" t="str">
            <v>DELL PowerEdge T440</v>
          </cell>
          <cell r="P8" t="str">
            <v>Win server 2012</v>
          </cell>
          <cell r="R8" t="str">
            <v>PowerEdge T440</v>
          </cell>
          <cell r="S8" t="str">
            <v>FS8V8Z2</v>
          </cell>
          <cell r="T8" t="str">
            <v>Intel(R) Xeon(R) Silver 4112 CPU @ 2.60GHz</v>
          </cell>
          <cell r="U8" t="str">
            <v>8GB * 2EA</v>
          </cell>
          <cell r="V8" t="str">
            <v>HMA81GR7CJR8N-VK</v>
          </cell>
          <cell r="W8" t="str">
            <v>93421ECE</v>
          </cell>
          <cell r="X8" t="str">
            <v>HMA81GR7CJR8N-VK</v>
          </cell>
          <cell r="Y8" t="str">
            <v>93421ED1</v>
          </cell>
          <cell r="AD8" t="str">
            <v>192.168.2.161</v>
          </cell>
          <cell r="AE8" t="str">
            <v>255.255.254.0</v>
          </cell>
          <cell r="AF8" t="str">
            <v>192.168.3.254</v>
          </cell>
          <cell r="AG8" t="str">
            <v>192.168.2.200</v>
          </cell>
          <cell r="AH8" t="str">
            <v>Microsoft Network Adapter Multiplexor Driver</v>
          </cell>
          <cell r="AI8" t="str">
            <v>B0-26-28-B6-4C-3C</v>
          </cell>
          <cell r="AP8" t="str">
            <v>DROP161</v>
          </cell>
          <cell r="AQ8" t="str">
            <v>Microsoft Windows Server 2012 R2 Standard</v>
          </cell>
          <cell r="AR8" t="str">
            <v>6.3.9600 N/A Build 9600</v>
          </cell>
          <cell r="AS8" t="str">
            <v>x64-based PC</v>
          </cell>
          <cell r="AT8" t="str">
            <v>McAfee Endpoint Security</v>
          </cell>
          <cell r="AU8">
            <v>10.7</v>
          </cell>
          <cell r="AV8" t="str">
            <v>DELL PERC H730P Adp SCSI Disk Device</v>
          </cell>
          <cell r="AX8" t="str">
            <v>WDDM 1.3</v>
          </cell>
          <cell r="AY8" t="str">
            <v>NVIDIA Quadro P620</v>
          </cell>
          <cell r="BD8" t="str">
            <v>HL-DT-ST DVD+-RW GU90N</v>
          </cell>
          <cell r="BE8" t="str">
            <v>Ovation</v>
          </cell>
          <cell r="CG8">
            <v>43739</v>
          </cell>
        </row>
        <row r="9">
          <cell r="F9">
            <v>7</v>
          </cell>
          <cell r="G9" t="str">
            <v>IC-SA-SER-0007</v>
          </cell>
          <cell r="H9" t="str">
            <v>서버</v>
          </cell>
          <cell r="I9" t="str">
            <v>연료전지</v>
          </cell>
          <cell r="J9" t="str">
            <v>4단계 EWS DROP 203</v>
          </cell>
          <cell r="K9" t="str">
            <v>연료전지운영제어</v>
          </cell>
          <cell r="L9" t="str">
            <v>연료전지 4단계</v>
          </cell>
          <cell r="M9" t="str">
            <v>192.168.2.203</v>
          </cell>
          <cell r="N9" t="str">
            <v>중</v>
          </cell>
          <cell r="O9" t="str">
            <v>DELL PowerEdge T440</v>
          </cell>
          <cell r="P9" t="str">
            <v>Win server 2012</v>
          </cell>
          <cell r="R9" t="str">
            <v>PowerEdge T440</v>
          </cell>
          <cell r="S9" t="str">
            <v>2LS9N33</v>
          </cell>
          <cell r="T9" t="str">
            <v>Intel(R) Xeon(R) Silver 4112 CPU @ 2.60GHz</v>
          </cell>
          <cell r="U9" t="str">
            <v>8GB* 2EA</v>
          </cell>
          <cell r="V9" t="str">
            <v>9ASF1G72PZ-2G6J1</v>
          </cell>
          <cell r="W9" t="str">
            <v>2519AB77</v>
          </cell>
          <cell r="X9" t="str">
            <v>9ASF1G72PZ-2G6J1</v>
          </cell>
          <cell r="Y9" t="str">
            <v>2519AA89</v>
          </cell>
          <cell r="AD9" t="str">
            <v>192.168.2.203</v>
          </cell>
          <cell r="AE9" t="str">
            <v>255.255.254.0</v>
          </cell>
          <cell r="AF9" t="str">
            <v>192.168.3.254</v>
          </cell>
          <cell r="AG9" t="str">
            <v>192.168.2.200</v>
          </cell>
          <cell r="AH9" t="str">
            <v>Microsoft Network Adapter Multiplexor Driver</v>
          </cell>
          <cell r="AI9" t="str">
            <v>4C-D9-8F-C2-60-CA</v>
          </cell>
          <cell r="AP9" t="str">
            <v>DROP203</v>
          </cell>
          <cell r="AQ9" t="str">
            <v>Microsoft Windows Server 2012 R2 Standard</v>
          </cell>
          <cell r="AR9" t="str">
            <v>6.3.9600 N/A 빌드 9600</v>
          </cell>
          <cell r="AS9" t="str">
            <v>x64-based PC</v>
          </cell>
          <cell r="AT9" t="str">
            <v>McAfee Endpoint Security</v>
          </cell>
          <cell r="AU9">
            <v>10.7</v>
          </cell>
          <cell r="AV9" t="str">
            <v>DELL PERC H730P</v>
          </cell>
          <cell r="AX9" t="str">
            <v>WDDM 1.3</v>
          </cell>
          <cell r="AY9" t="str">
            <v>Microsoft Basic Display Adapter</v>
          </cell>
          <cell r="BD9" t="str">
            <v>HL-DT-ST DVD+-RW GU90N</v>
          </cell>
          <cell r="BE9" t="str">
            <v>Ovation</v>
          </cell>
          <cell r="CG9">
            <v>44228</v>
          </cell>
        </row>
        <row r="10">
          <cell r="F10">
            <v>8</v>
          </cell>
          <cell r="G10" t="str">
            <v>IC-SA-SER-0008</v>
          </cell>
          <cell r="H10" t="str">
            <v>서버</v>
          </cell>
          <cell r="I10" t="str">
            <v>연료전지</v>
          </cell>
          <cell r="J10" t="str">
            <v>OPH#1 DROP 160</v>
          </cell>
          <cell r="K10" t="str">
            <v>연료전지운영제어</v>
          </cell>
          <cell r="L10" t="str">
            <v>연료전지 통합제어실</v>
          </cell>
          <cell r="M10" t="str">
            <v>192.168.2.160</v>
          </cell>
          <cell r="N10" t="str">
            <v>하</v>
          </cell>
          <cell r="O10" t="str">
            <v>DELL PowerEdge T430</v>
          </cell>
          <cell r="P10" t="str">
            <v>Win server 2012</v>
          </cell>
          <cell r="R10" t="str">
            <v>PowerEdge T430</v>
          </cell>
          <cell r="S10" t="str">
            <v>2K9CCM2</v>
          </cell>
          <cell r="T10" t="str">
            <v>Intel(R) Xeon(R) CPU E5-2623 v3 @ 3.00GHz</v>
          </cell>
          <cell r="U10" t="str">
            <v>4GB* 2EA</v>
          </cell>
          <cell r="V10" t="str">
            <v>HMA451R7AFR8N-UH</v>
          </cell>
          <cell r="W10" t="str">
            <v>81B184C1</v>
          </cell>
          <cell r="X10" t="str">
            <v>HMA451R7AFR8N-UH</v>
          </cell>
          <cell r="Y10" t="str">
            <v>81B184C2</v>
          </cell>
          <cell r="AD10" t="str">
            <v>192.168.2.160</v>
          </cell>
          <cell r="AE10" t="str">
            <v>255.255.254.0</v>
          </cell>
          <cell r="AF10" t="str">
            <v>192.168.3.254</v>
          </cell>
          <cell r="AG10" t="str">
            <v>192.168.2.200</v>
          </cell>
          <cell r="AH10" t="str">
            <v>Broadcom NetXtreme Gigabit Ethernet #2</v>
          </cell>
          <cell r="AI10" t="str">
            <v>D0-94-66-1C-8A-16</v>
          </cell>
          <cell r="AP10" t="str">
            <v>DROP160</v>
          </cell>
          <cell r="AQ10" t="str">
            <v>Microsoft Windows Server 2012 R2 Standard</v>
          </cell>
          <cell r="AR10" t="str">
            <v>6.3.9600 N/A Build 9600</v>
          </cell>
          <cell r="AS10" t="str">
            <v>x64-based PC</v>
          </cell>
          <cell r="AT10" t="str">
            <v>McAfee Endpoint Security</v>
          </cell>
          <cell r="AU10">
            <v>10.7</v>
          </cell>
          <cell r="AV10" t="str">
            <v xml:space="preserve"> DELL PERC H730</v>
          </cell>
          <cell r="AW10" t="str">
            <v>DELL RD1000</v>
          </cell>
          <cell r="AX10" t="str">
            <v>WDDM 1.3</v>
          </cell>
          <cell r="AY10" t="str">
            <v>Microsoft Basic Display Adapter</v>
          </cell>
          <cell r="BD10" t="str">
            <v>PLDS DVD+-RW DH-16AES</v>
          </cell>
          <cell r="BE10" t="str">
            <v>Ovation</v>
          </cell>
          <cell r="CG10">
            <v>42887</v>
          </cell>
        </row>
        <row r="11">
          <cell r="F11">
            <v>9</v>
          </cell>
          <cell r="G11" t="str">
            <v>IC-SA-SER-0009</v>
          </cell>
          <cell r="H11" t="str">
            <v>서버</v>
          </cell>
          <cell r="I11" t="str">
            <v>연료전지</v>
          </cell>
          <cell r="J11" t="str">
            <v>DROP 215</v>
          </cell>
          <cell r="K11" t="str">
            <v>연료전지운영제어</v>
          </cell>
          <cell r="L11" t="str">
            <v>연료전지 통합제어실</v>
          </cell>
          <cell r="M11" t="str">
            <v>192.168.2.215</v>
          </cell>
          <cell r="N11" t="str">
            <v>하</v>
          </cell>
          <cell r="O11" t="str">
            <v>DELL OptiPlex XE2</v>
          </cell>
          <cell r="P11" t="str">
            <v>Win10 2016 LTSB</v>
          </cell>
          <cell r="R11" t="str">
            <v>OptiPlex XE2</v>
          </cell>
          <cell r="S11" t="str">
            <v>2KBKCM2</v>
          </cell>
          <cell r="T11" t="str">
            <v>Intel(R) Core(TM) i5-4570S CPU @ 2.90GHz</v>
          </cell>
          <cell r="U11" t="str">
            <v>4GB* 2EA</v>
          </cell>
          <cell r="V11" t="str">
            <v>KP4T2F-PSB</v>
          </cell>
          <cell r="W11" t="str">
            <v>0920DA0360D9</v>
          </cell>
          <cell r="X11" t="str">
            <v>KP4T2F-PSB</v>
          </cell>
          <cell r="Y11" t="str">
            <v>0920E90360D7</v>
          </cell>
          <cell r="AD11" t="str">
            <v>192.168.2.215</v>
          </cell>
          <cell r="AE11" t="str">
            <v>255.255.254.0</v>
          </cell>
          <cell r="AF11" t="str">
            <v>192.168.3.254</v>
          </cell>
          <cell r="AG11" t="str">
            <v>192.168.2.200</v>
          </cell>
          <cell r="AH11" t="str">
            <v>Broadcom NetXtreme Gigabit Ethernet #2</v>
          </cell>
          <cell r="AI11" t="str">
            <v>00-0A-F7-BB-E3-35</v>
          </cell>
          <cell r="AP11" t="str">
            <v>DROP215</v>
          </cell>
          <cell r="AQ11" t="str">
            <v>Microsoft Windows 10 Enterprise 2016 LTSB</v>
          </cell>
          <cell r="AR11" t="str">
            <v>10.0.14393 N/A Build 14393</v>
          </cell>
          <cell r="AS11" t="str">
            <v>x64-based PC</v>
          </cell>
          <cell r="AT11" t="str">
            <v>McAfee Endpoint Security</v>
          </cell>
          <cell r="AU11">
            <v>10.7</v>
          </cell>
          <cell r="AV11" t="str">
            <v>WDC WD10EZEX-75WN4A0</v>
          </cell>
          <cell r="AX11" t="str">
            <v>WDDM 1.3</v>
          </cell>
          <cell r="AY11" t="str">
            <v>Microsoft Basic Display Adapter</v>
          </cell>
          <cell r="AZ11" t="str">
            <v>Unknown</v>
          </cell>
          <cell r="BA11" t="str">
            <v>Microsoft Basic Display Adapter</v>
          </cell>
          <cell r="BD11" t="str">
            <v>HL-DT-ST DVD+-RW GHB0N</v>
          </cell>
          <cell r="BE11" t="str">
            <v>Ovation</v>
          </cell>
          <cell r="CG11">
            <v>42887</v>
          </cell>
        </row>
        <row r="12">
          <cell r="F12">
            <v>10</v>
          </cell>
          <cell r="G12" t="str">
            <v>IC-SA-SER-0010</v>
          </cell>
          <cell r="H12" t="str">
            <v>서버</v>
          </cell>
          <cell r="I12" t="str">
            <v>연료전지</v>
          </cell>
          <cell r="J12" t="str">
            <v>DROP 214</v>
          </cell>
          <cell r="K12" t="str">
            <v>연료전지운영제어</v>
          </cell>
          <cell r="L12" t="str">
            <v>연료전지 통합제어실</v>
          </cell>
          <cell r="M12" t="str">
            <v>192.168.2.214</v>
          </cell>
          <cell r="N12" t="str">
            <v>하</v>
          </cell>
          <cell r="O12" t="str">
            <v>DELL OptiPlex XE2</v>
          </cell>
          <cell r="P12" t="str">
            <v>Win10 2016 LTSB</v>
          </cell>
          <cell r="R12" t="str">
            <v>OptiPlex XE2</v>
          </cell>
          <cell r="S12" t="str">
            <v>2KBFCM2</v>
          </cell>
          <cell r="T12" t="str">
            <v>Intel(R) Core(TM) i5-4570S CPU @ 2.90GHz</v>
          </cell>
          <cell r="U12" t="str">
            <v>4GB* 2EA</v>
          </cell>
          <cell r="V12" t="str">
            <v>KP4T2F-PSB</v>
          </cell>
          <cell r="W12" t="str">
            <v>0920F90360D4</v>
          </cell>
          <cell r="X12" t="str">
            <v>KP4T2F-PSB</v>
          </cell>
          <cell r="Y12" t="str">
            <v>0920E50360D7</v>
          </cell>
          <cell r="AD12" t="str">
            <v>192.168.2.214</v>
          </cell>
          <cell r="AE12" t="str">
            <v>255.255.254.0</v>
          </cell>
          <cell r="AF12" t="str">
            <v>192.168.3.254</v>
          </cell>
          <cell r="AG12" t="str">
            <v>192.168.2.200</v>
          </cell>
          <cell r="AH12" t="str">
            <v>Broadcom NetXtreme Gigabit Ethernet #2</v>
          </cell>
          <cell r="AI12" t="str">
            <v>00-0A-F7-BB-E3-38</v>
          </cell>
          <cell r="AP12" t="str">
            <v>DROP214</v>
          </cell>
          <cell r="AQ12" t="str">
            <v>Microsoft Windows 10 Enterprise 2016 LTSB</v>
          </cell>
          <cell r="AR12" t="str">
            <v>10.0.14393 N/A Build 14393</v>
          </cell>
          <cell r="AS12" t="str">
            <v>x64-based PC</v>
          </cell>
          <cell r="AT12" t="str">
            <v>McAfee Endpoint Security</v>
          </cell>
          <cell r="AU12">
            <v>10.7</v>
          </cell>
          <cell r="AV12" t="str">
            <v>WDC WD10EZEX-75WN4A0</v>
          </cell>
          <cell r="AX12" t="str">
            <v>WDDM 2.0</v>
          </cell>
          <cell r="AY12" t="str">
            <v>AMD Radeon(TM) R5 340X</v>
          </cell>
          <cell r="AZ12" t="str">
            <v>WDDM 2.0</v>
          </cell>
          <cell r="BA12" t="str">
            <v>AMD Radeon(TM) R5 340X</v>
          </cell>
          <cell r="BB12" t="str">
            <v>WDDM 1.3</v>
          </cell>
          <cell r="BC12" t="str">
            <v>Microsoft Basic Display Adapter</v>
          </cell>
          <cell r="BD12" t="str">
            <v>HL-DT-ST DVD+-RW GHB0N</v>
          </cell>
          <cell r="BE12" t="str">
            <v>Ovation</v>
          </cell>
          <cell r="CG12">
            <v>42887</v>
          </cell>
        </row>
        <row r="13">
          <cell r="F13">
            <v>11</v>
          </cell>
          <cell r="G13" t="str">
            <v>IC-SA-SER-0011</v>
          </cell>
          <cell r="H13" t="str">
            <v>서버</v>
          </cell>
          <cell r="I13" t="str">
            <v>연료전지</v>
          </cell>
          <cell r="J13" t="str">
            <v>DROP 216</v>
          </cell>
          <cell r="K13" t="str">
            <v>연료전지운영제어</v>
          </cell>
          <cell r="L13" t="str">
            <v>연료전지 통합제어실</v>
          </cell>
          <cell r="M13" t="str">
            <v>192.168.2.216</v>
          </cell>
          <cell r="N13" t="str">
            <v>하</v>
          </cell>
          <cell r="O13" t="str">
            <v>DELL OptiPlex XE2</v>
          </cell>
          <cell r="P13" t="str">
            <v>Win10 2016 LTSB</v>
          </cell>
          <cell r="R13" t="str">
            <v>OptiPlex XE2</v>
          </cell>
          <cell r="S13" t="str">
            <v>1ZGL0R2</v>
          </cell>
          <cell r="T13" t="str">
            <v>Intel(R) Core(TM) i5-4570S CPU @ 2.90GHz</v>
          </cell>
          <cell r="U13" t="str">
            <v>4GB* 2EA</v>
          </cell>
          <cell r="V13" t="str">
            <v>KP4T2F-PSB</v>
          </cell>
          <cell r="W13" t="str">
            <v>0A108C016020</v>
          </cell>
          <cell r="X13" t="str">
            <v>KP4T2F-PSB</v>
          </cell>
          <cell r="Y13" t="str">
            <v>07C041016054</v>
          </cell>
          <cell r="AD13" t="str">
            <v>192.168.2.216</v>
          </cell>
          <cell r="AE13" t="str">
            <v>255.255.254.0</v>
          </cell>
          <cell r="AF13" t="str">
            <v>192.168.3.254</v>
          </cell>
          <cell r="AG13" t="str">
            <v>192.168.2.200</v>
          </cell>
          <cell r="AH13" t="str">
            <v>Intel(R) Ethernet Connection I217-LM</v>
          </cell>
          <cell r="AI13" t="str">
            <v>54-BF-64-68-46-2B</v>
          </cell>
          <cell r="AP13" t="str">
            <v>DROP216</v>
          </cell>
          <cell r="AQ13" t="str">
            <v>Microsoft Windows 10 Enterprise 2016 LTSB</v>
          </cell>
          <cell r="AR13" t="str">
            <v>10.0.14393 N/A Build 14393</v>
          </cell>
          <cell r="AS13" t="str">
            <v>x64-based PC</v>
          </cell>
          <cell r="AT13" t="str">
            <v>McAfee Endpoint Security</v>
          </cell>
          <cell r="AU13">
            <v>10.7</v>
          </cell>
          <cell r="AV13" t="str">
            <v>ST1000DM010-2EP102</v>
          </cell>
          <cell r="AX13" t="str">
            <v>WDDM 2.1</v>
          </cell>
          <cell r="AY13" t="str">
            <v>AMD Radeon(TM) R5 340X</v>
          </cell>
          <cell r="AZ13" t="str">
            <v>WDDM 2.1</v>
          </cell>
          <cell r="BA13" t="str">
            <v>AMD Radeon(TM) R5 340X</v>
          </cell>
          <cell r="BD13" t="str">
            <v>HL-DT-ST DVD+-RW GHB0N</v>
          </cell>
          <cell r="BE13" t="str">
            <v>Ovation</v>
          </cell>
          <cell r="CG13">
            <v>43497</v>
          </cell>
        </row>
        <row r="14">
          <cell r="F14">
            <v>12</v>
          </cell>
          <cell r="G14" t="str">
            <v>IC-SA-SER-0012</v>
          </cell>
          <cell r="H14" t="str">
            <v>서버</v>
          </cell>
          <cell r="I14" t="str">
            <v>연료전지</v>
          </cell>
          <cell r="J14" t="str">
            <v>DROP 217</v>
          </cell>
          <cell r="K14" t="str">
            <v>연료전지운영제어</v>
          </cell>
          <cell r="L14" t="str">
            <v>연료전지 통합제어실</v>
          </cell>
          <cell r="M14" t="str">
            <v>192.168.2.217</v>
          </cell>
          <cell r="N14" t="str">
            <v>하</v>
          </cell>
          <cell r="O14" t="str">
            <v>DELL OptiPlex XE2</v>
          </cell>
          <cell r="P14" t="str">
            <v>Win10 2016 LTSB</v>
          </cell>
          <cell r="R14" t="str">
            <v>OptiPlex XE2</v>
          </cell>
          <cell r="S14" t="str">
            <v>1ZGK0R2</v>
          </cell>
          <cell r="T14" t="str">
            <v>Intel(R) Core(TM) i5-4570S CPU @ 2.90GHz</v>
          </cell>
          <cell r="U14" t="str">
            <v>4GB* 2EA</v>
          </cell>
          <cell r="V14" t="str">
            <v>KP4T2F-PSB</v>
          </cell>
          <cell r="W14" t="str">
            <v>02A0DC012055</v>
          </cell>
          <cell r="X14" t="str">
            <v>KP4T2F-PSB</v>
          </cell>
          <cell r="Y14" t="str">
            <v>06A008012056</v>
          </cell>
          <cell r="AD14" t="str">
            <v>192.168.2.217</v>
          </cell>
          <cell r="AE14" t="str">
            <v>255.255.254.0</v>
          </cell>
          <cell r="AF14" t="str">
            <v>192.168.3.254</v>
          </cell>
          <cell r="AG14" t="str">
            <v>192.168.2.200</v>
          </cell>
          <cell r="AH14" t="str">
            <v>Intel(R) Ethernet Connection I217-LM</v>
          </cell>
          <cell r="AI14" t="str">
            <v>54-BF-64-68-42-69</v>
          </cell>
          <cell r="AP14" t="str">
            <v>DROP217</v>
          </cell>
          <cell r="AQ14" t="str">
            <v>Microsoft Windows 10 Enterprise 2016 LTSB</v>
          </cell>
          <cell r="AR14" t="str">
            <v>10.0.14393 N/A Build 14393</v>
          </cell>
          <cell r="AS14" t="str">
            <v>x64-based PC</v>
          </cell>
          <cell r="AT14" t="str">
            <v>McAfee Endpoint Security</v>
          </cell>
          <cell r="AU14">
            <v>10.7</v>
          </cell>
          <cell r="AV14" t="str">
            <v>ST1000DM010-2EP102</v>
          </cell>
          <cell r="AX14" t="str">
            <v>WDDM 2.1</v>
          </cell>
          <cell r="AY14" t="str">
            <v>AMD Radeon(TM) R5 340X</v>
          </cell>
          <cell r="AZ14" t="str">
            <v>WDDM 2.1</v>
          </cell>
          <cell r="BA14" t="str">
            <v>AMD Radeon(TM) R5 340X</v>
          </cell>
          <cell r="BD14" t="str">
            <v>HL-DT-ST DVD+-RW GHB0N</v>
          </cell>
          <cell r="BE14" t="str">
            <v>Ovation</v>
          </cell>
          <cell r="CG14">
            <v>43739</v>
          </cell>
        </row>
        <row r="15">
          <cell r="F15">
            <v>13</v>
          </cell>
          <cell r="G15" t="str">
            <v>IC-SA-SER-0013</v>
          </cell>
          <cell r="H15" t="str">
            <v>서버</v>
          </cell>
          <cell r="I15" t="str">
            <v>연료전지</v>
          </cell>
          <cell r="J15" t="str">
            <v>DROP 218</v>
          </cell>
          <cell r="K15" t="str">
            <v>연료전지운영제어</v>
          </cell>
          <cell r="L15" t="str">
            <v>연료전지 통합제어실</v>
          </cell>
          <cell r="M15" t="str">
            <v>192.168.2.218</v>
          </cell>
          <cell r="N15" t="str">
            <v>하</v>
          </cell>
          <cell r="O15" t="str">
            <v>DELL OptiPlex XE3</v>
          </cell>
          <cell r="P15" t="str">
            <v>Win10 LTSC</v>
          </cell>
          <cell r="R15" t="str">
            <v>OptiPlex XE3</v>
          </cell>
          <cell r="S15" t="str">
            <v>1J5JC43</v>
          </cell>
          <cell r="T15" t="str">
            <v>Intel(R) Core(TM) i5-8500 CPU @ 3.00GHz</v>
          </cell>
          <cell r="U15" t="str">
            <v>8GB</v>
          </cell>
          <cell r="V15" t="str">
            <v>HMA81GU6DJR8N-VK</v>
          </cell>
          <cell r="W15" t="str">
            <v>343FA3F6</v>
          </cell>
          <cell r="AD15" t="str">
            <v>192.168.2.218</v>
          </cell>
          <cell r="AE15" t="str">
            <v>255.255.254.0</v>
          </cell>
          <cell r="AF15" t="str">
            <v>192.168.3.254</v>
          </cell>
          <cell r="AG15" t="str">
            <v>192.168.2.200</v>
          </cell>
          <cell r="AH15" t="str">
            <v>Intel(R) Ethernet Server Adapter I210-T1 #2</v>
          </cell>
          <cell r="AI15" t="str">
            <v>B4-96-91-77-95-1B</v>
          </cell>
          <cell r="AP15" t="str">
            <v>DROP218</v>
          </cell>
          <cell r="AQ15" t="str">
            <v>Microsoft Windows 10 Enterprise LTSC</v>
          </cell>
          <cell r="AR15" t="str">
            <v>10.0.17763 N/A Build 17763</v>
          </cell>
          <cell r="AS15" t="str">
            <v>x64-based PC</v>
          </cell>
          <cell r="AT15" t="str">
            <v>McAfee Endpoint Security</v>
          </cell>
          <cell r="AU15">
            <v>10.7</v>
          </cell>
          <cell r="AV15" t="str">
            <v>HGST HTS721010A9E630</v>
          </cell>
          <cell r="AX15" t="str">
            <v>WDDM 2.5</v>
          </cell>
          <cell r="AY15" t="str">
            <v>AMD Radeon R5 430</v>
          </cell>
          <cell r="AZ15" t="str">
            <v>WDDM 2.5</v>
          </cell>
          <cell r="BA15" t="str">
            <v>AMD Radeon R5 430</v>
          </cell>
          <cell r="BB15" t="str">
            <v>WDDM 2.5</v>
          </cell>
          <cell r="BC15" t="str">
            <v>Intel(R) UHD Graphics 630</v>
          </cell>
          <cell r="BD15" t="str">
            <v>HL-DT-ST DVD+-RW GU90N</v>
          </cell>
          <cell r="BE15" t="str">
            <v>Ovation</v>
          </cell>
          <cell r="CG15">
            <v>44228</v>
          </cell>
        </row>
        <row r="16">
          <cell r="F16">
            <v>14</v>
          </cell>
          <cell r="G16" t="str">
            <v>IC-SA-SER-0014</v>
          </cell>
          <cell r="H16" t="str">
            <v>서버</v>
          </cell>
          <cell r="I16" t="str">
            <v>연료전지</v>
          </cell>
          <cell r="J16" t="str">
            <v>DROP 213</v>
          </cell>
          <cell r="K16" t="str">
            <v>연료전지운영제어</v>
          </cell>
          <cell r="L16" t="str">
            <v>본관 통신실</v>
          </cell>
          <cell r="M16" t="str">
            <v>192.168.2.213</v>
          </cell>
          <cell r="N16" t="str">
            <v>하</v>
          </cell>
          <cell r="O16" t="str">
            <v>DELL OptiPlex XE2</v>
          </cell>
          <cell r="P16" t="str">
            <v>Win10 PRO</v>
          </cell>
          <cell r="R16" t="str">
            <v>OptiPlex XE2</v>
          </cell>
          <cell r="S16" t="str">
            <v>2KBHCM2</v>
          </cell>
          <cell r="T16" t="str">
            <v>Intel(R) Core(TM) i5-4570S CPU @ 2.90GHz</v>
          </cell>
          <cell r="U16" t="str">
            <v>4GB* 2EA</v>
          </cell>
          <cell r="V16" t="str">
            <v>KP4T2F-PSB</v>
          </cell>
          <cell r="W16" t="str">
            <v>0920C40360D9</v>
          </cell>
          <cell r="X16" t="str">
            <v>KP4T2F-PSB</v>
          </cell>
          <cell r="Y16" t="str">
            <v>0920C00360DB</v>
          </cell>
          <cell r="AD16" t="str">
            <v>192.168.2.213</v>
          </cell>
          <cell r="AE16" t="str">
            <v>255.255.254.0</v>
          </cell>
          <cell r="AF16" t="str">
            <v>192.168.3.254</v>
          </cell>
          <cell r="AG16" t="str">
            <v>192.168.2.200</v>
          </cell>
          <cell r="AH16" t="str">
            <v>Broadcom NetXtreme Gigabit Ethernet</v>
          </cell>
          <cell r="AI16" t="str">
            <v>00-0A-F7-BB-E3-1B</v>
          </cell>
          <cell r="AP16" t="str">
            <v>DROP213</v>
          </cell>
          <cell r="AQ16" t="str">
            <v>Microsoft Windows 10 Enterprise 2016 LTSB</v>
          </cell>
          <cell r="AR16" t="str">
            <v>10.0.14393 N/A Build 14393</v>
          </cell>
          <cell r="AS16" t="str">
            <v>x64-based PC</v>
          </cell>
          <cell r="AT16" t="str">
            <v>McAfee Endpoint Security</v>
          </cell>
          <cell r="AU16">
            <v>10.7</v>
          </cell>
          <cell r="AV16" t="str">
            <v>WDC WD10EZEX-75WN4A0</v>
          </cell>
          <cell r="AX16" t="str">
            <v>WDDM 2.1</v>
          </cell>
          <cell r="AY16" t="str">
            <v>NVIDIA Quadro P620</v>
          </cell>
          <cell r="BD16" t="str">
            <v>HL-DT-ST DVD+-RW GHB0N</v>
          </cell>
          <cell r="BE16" t="str">
            <v>Ovation</v>
          </cell>
          <cell r="CG16">
            <v>43282</v>
          </cell>
        </row>
        <row r="17">
          <cell r="F17">
            <v>15</v>
          </cell>
          <cell r="G17" t="str">
            <v>IC-SA-SER-0015</v>
          </cell>
          <cell r="H17" t="str">
            <v>서버</v>
          </cell>
          <cell r="I17" t="str">
            <v>연료전지</v>
          </cell>
          <cell r="J17" t="str">
            <v>DROP 211</v>
          </cell>
          <cell r="K17" t="str">
            <v>연료전지운영제어</v>
          </cell>
          <cell r="L17" t="str">
            <v>1단계 중앙제어실</v>
          </cell>
          <cell r="M17" t="str">
            <v>192.168.2.211</v>
          </cell>
          <cell r="N17" t="str">
            <v>하</v>
          </cell>
          <cell r="O17" t="str">
            <v>DELL OptiPlex XE2</v>
          </cell>
          <cell r="P17" t="str">
            <v>Win10 2016 LTSB</v>
          </cell>
          <cell r="R17" t="str">
            <v>OptiPlex XE2</v>
          </cell>
          <cell r="S17" t="str">
            <v>2KBGCM2</v>
          </cell>
          <cell r="T17" t="str">
            <v>Intel(R) Core(TM) i5-4570S CPU @ 2.90GHz</v>
          </cell>
          <cell r="U17" t="str">
            <v>4GB* 2EA</v>
          </cell>
          <cell r="V17" t="str">
            <v>KP4T2F-PSB</v>
          </cell>
          <cell r="W17" t="str">
            <v>0920CE0360DA</v>
          </cell>
          <cell r="X17" t="str">
            <v>KP4T2F-PSB</v>
          </cell>
          <cell r="Y17" t="str">
            <v>0920DF0360D4</v>
          </cell>
          <cell r="AD17" t="str">
            <v>192.168.2.211</v>
          </cell>
          <cell r="AE17" t="str">
            <v>255.255.254.0</v>
          </cell>
          <cell r="AF17" t="str">
            <v>192.168.3.254</v>
          </cell>
          <cell r="AG17" t="str">
            <v>192.168.2.200</v>
          </cell>
          <cell r="AH17" t="str">
            <v>Broadcom NetXtreme Gigabit Ethernet</v>
          </cell>
          <cell r="AI17" t="str">
            <v>00-0A-F7-BB-E3-66</v>
          </cell>
          <cell r="AP17" t="str">
            <v>DROP211</v>
          </cell>
          <cell r="AQ17" t="str">
            <v>Microsoft Windows 10 Enterprise 2016 LTSB</v>
          </cell>
          <cell r="AR17" t="str">
            <v>10.0.14393 N/A Build 14393</v>
          </cell>
          <cell r="AS17" t="str">
            <v>x64-based PC</v>
          </cell>
          <cell r="AT17" t="str">
            <v>McAfee Endpoint Security</v>
          </cell>
          <cell r="AU17">
            <v>10.7</v>
          </cell>
          <cell r="AV17" t="str">
            <v>WDC WD10EZEX-75WN4A0</v>
          </cell>
          <cell r="AX17" t="str">
            <v>WDDM 1.3</v>
          </cell>
          <cell r="AY17" t="str">
            <v>Microsoft Basic Display Adapter</v>
          </cell>
          <cell r="AZ17" t="str">
            <v>WDDM 2.0</v>
          </cell>
          <cell r="BA17" t="str">
            <v>AMD Radeon(TM) R5 340X</v>
          </cell>
          <cell r="BD17" t="str">
            <v>HL-DT-ST DVD+-RW GHB0N</v>
          </cell>
          <cell r="BE17" t="str">
            <v>Ovation</v>
          </cell>
          <cell r="CG17">
            <v>43282</v>
          </cell>
        </row>
        <row r="18">
          <cell r="F18">
            <v>16</v>
          </cell>
          <cell r="G18" t="str">
            <v>IC-SA-SER-0016</v>
          </cell>
          <cell r="H18" t="str">
            <v>서버</v>
          </cell>
          <cell r="I18" t="str">
            <v>연료전지</v>
          </cell>
          <cell r="J18" t="str">
            <v>DROP 225</v>
          </cell>
          <cell r="K18" t="str">
            <v>연료전지운영제어</v>
          </cell>
          <cell r="L18" t="str">
            <v>1단계 중앙제어실</v>
          </cell>
          <cell r="M18" t="str">
            <v>192.168.2.225</v>
          </cell>
          <cell r="N18" t="str">
            <v>하</v>
          </cell>
          <cell r="O18" t="str">
            <v>DELL OptiPlex XE2</v>
          </cell>
          <cell r="P18" t="str">
            <v>Win10 2016 LTSB</v>
          </cell>
          <cell r="R18" t="str">
            <v>OptiPlex XE2</v>
          </cell>
          <cell r="S18" t="str">
            <v>1ZGJ0R2</v>
          </cell>
          <cell r="T18" t="str">
            <v>Intel(R) Core(TM) i5-4570S CPU @ 2.90GHz</v>
          </cell>
          <cell r="U18" t="str">
            <v>4GB* 2EA</v>
          </cell>
          <cell r="V18" t="str">
            <v>KP4T2F-PSB</v>
          </cell>
          <cell r="W18" t="str">
            <v>0A108A016020</v>
          </cell>
          <cell r="X18" t="str">
            <v>KP4T2F-PSB</v>
          </cell>
          <cell r="Y18" t="str">
            <v>0A1039016022</v>
          </cell>
          <cell r="AD18" t="str">
            <v>192.168.2.225</v>
          </cell>
          <cell r="AE18" t="str">
            <v>255.255.254.0</v>
          </cell>
          <cell r="AF18" t="str">
            <v>192.168.3.254</v>
          </cell>
          <cell r="AG18" t="str">
            <v>192.168.2.200</v>
          </cell>
          <cell r="AH18" t="str">
            <v>Intel(R) Ethernet Connection I217-LM</v>
          </cell>
          <cell r="AI18" t="str">
            <v>54-BF-64-68-44-E9</v>
          </cell>
          <cell r="AP18" t="str">
            <v>DROP225</v>
          </cell>
          <cell r="AQ18" t="str">
            <v>Microsoft Windows 10 Enterprise 2016 LTSB</v>
          </cell>
          <cell r="AR18" t="str">
            <v>10.0.14393 N/A Build 14393</v>
          </cell>
          <cell r="AS18" t="str">
            <v>x64-based PC</v>
          </cell>
          <cell r="AT18" t="str">
            <v>McAfee Endpoint Security</v>
          </cell>
          <cell r="AU18">
            <v>10.7</v>
          </cell>
          <cell r="AV18" t="str">
            <v>ST1000DM010-2EP102</v>
          </cell>
          <cell r="AX18" t="str">
            <v>WDDM 1.3</v>
          </cell>
          <cell r="AY18" t="str">
            <v>Microsoft Basic Display Adapter</v>
          </cell>
          <cell r="BD18" t="str">
            <v>HL-DT-ST DVD+-RW GHB0N</v>
          </cell>
          <cell r="BE18" t="str">
            <v>Ovation</v>
          </cell>
          <cell r="CG18">
            <v>43739</v>
          </cell>
        </row>
        <row r="19">
          <cell r="F19">
            <v>17</v>
          </cell>
          <cell r="G19" t="str">
            <v>IC-SA-SER-0017</v>
          </cell>
          <cell r="H19" t="str">
            <v>서버</v>
          </cell>
          <cell r="I19" t="str">
            <v>연료전지</v>
          </cell>
          <cell r="J19" t="str">
            <v>DROP 212</v>
          </cell>
          <cell r="K19" t="str">
            <v>연료전지운영제어</v>
          </cell>
          <cell r="L19" t="str">
            <v>2단계 중앙제어실</v>
          </cell>
          <cell r="M19" t="str">
            <v>192.168.2.212</v>
          </cell>
          <cell r="N19" t="str">
            <v>하</v>
          </cell>
          <cell r="O19" t="str">
            <v>DELL OptiPlex XE2</v>
          </cell>
          <cell r="P19" t="str">
            <v>Win10 2016 LTSB</v>
          </cell>
          <cell r="R19" t="str">
            <v>OptiPlex XE2</v>
          </cell>
          <cell r="S19" t="str">
            <v>2K9KCM2</v>
          </cell>
          <cell r="T19" t="str">
            <v>Intel(R) Core(TM) i5-4570S CPU @ 2.90GHz</v>
          </cell>
          <cell r="U19" t="str">
            <v>4GB* 2EA</v>
          </cell>
          <cell r="V19" t="str">
            <v>KP4T2F-PSB</v>
          </cell>
          <cell r="W19" t="str">
            <v>0920FF0360D3</v>
          </cell>
          <cell r="X19" t="str">
            <v>KP4T2F-PSB</v>
          </cell>
          <cell r="Y19" t="str">
            <v>0920FC0360D4</v>
          </cell>
          <cell r="AD19" t="str">
            <v>192.168.2.212</v>
          </cell>
          <cell r="AE19" t="str">
            <v>255.255.254.0</v>
          </cell>
          <cell r="AF19" t="str">
            <v>192.168.3.254</v>
          </cell>
          <cell r="AG19" t="str">
            <v>192.168.2.200</v>
          </cell>
          <cell r="AH19" t="str">
            <v>Broadcom NetXtreme Gigabit Ethernet</v>
          </cell>
          <cell r="AI19" t="str">
            <v>00-0A-F7-BB-E3-44</v>
          </cell>
          <cell r="AP19" t="str">
            <v>DROP212</v>
          </cell>
          <cell r="AQ19" t="str">
            <v>Microsoft Windows 10 Enterprise 2016 LTSB</v>
          </cell>
          <cell r="AR19" t="str">
            <v>10.0.14393 N/A Build 14393</v>
          </cell>
          <cell r="AS19" t="str">
            <v>x64-based PC</v>
          </cell>
          <cell r="AT19" t="str">
            <v>McAfee Endpoint Security</v>
          </cell>
          <cell r="AU19">
            <v>10.7</v>
          </cell>
          <cell r="AV19" t="str">
            <v>WDC WD10EZEX-75WN4A0</v>
          </cell>
          <cell r="AX19" t="str">
            <v>WDDM 1.3</v>
          </cell>
          <cell r="AY19" t="str">
            <v>Microsoft Basic Display Adapter</v>
          </cell>
          <cell r="AZ19" t="str">
            <v>WDDM 2.0</v>
          </cell>
          <cell r="BA19" t="str">
            <v>AMD Radeon(TM) R5 340X</v>
          </cell>
          <cell r="BD19" t="str">
            <v>HL-DT-ST DVD+-RW GHB0N</v>
          </cell>
          <cell r="BE19" t="str">
            <v>Ovation</v>
          </cell>
          <cell r="CG19">
            <v>43282</v>
          </cell>
        </row>
        <row r="20">
          <cell r="F20">
            <v>18</v>
          </cell>
          <cell r="G20" t="str">
            <v>IC-SA-SER-0018</v>
          </cell>
          <cell r="H20" t="str">
            <v>서버</v>
          </cell>
          <cell r="I20" t="str">
            <v>연료전지</v>
          </cell>
          <cell r="J20" t="str">
            <v>DROP 221</v>
          </cell>
          <cell r="K20" t="str">
            <v>연료전지운영제어</v>
          </cell>
          <cell r="L20" t="str">
            <v>2단계 중앙제어실</v>
          </cell>
          <cell r="M20" t="str">
            <v>192.168.2.221</v>
          </cell>
          <cell r="N20" t="str">
            <v>하</v>
          </cell>
          <cell r="O20" t="str">
            <v>DELL OptiPlex 7050</v>
          </cell>
          <cell r="P20" t="str">
            <v>Win10 2016 LTSB</v>
          </cell>
          <cell r="R20" t="str">
            <v>OptiPlex 7050</v>
          </cell>
          <cell r="S20" t="str">
            <v>57W01Y2</v>
          </cell>
          <cell r="T20" t="str">
            <v>Intel(R) Core(TM) i5-6500 CPU @ 3.20GHz</v>
          </cell>
          <cell r="U20" t="str">
            <v>8GB* 2EA</v>
          </cell>
          <cell r="V20" t="str">
            <v>HMA81GU6AFR8N-UH</v>
          </cell>
          <cell r="W20" t="str">
            <v>2DFC496A</v>
          </cell>
          <cell r="X20" t="str">
            <v>HMA81GU6AFR8N-UH</v>
          </cell>
          <cell r="Y20" t="str">
            <v>2DFC4A58</v>
          </cell>
          <cell r="AD20" t="str">
            <v>192.168.2.221</v>
          </cell>
          <cell r="AE20" t="str">
            <v>255.255.254.0</v>
          </cell>
          <cell r="AF20" t="str">
            <v>192.168.3.254</v>
          </cell>
          <cell r="AG20" t="str">
            <v>192.168.2.200</v>
          </cell>
          <cell r="AH20" t="str">
            <v>Intel(R) Ethernet Server Adapter I210-T1</v>
          </cell>
          <cell r="AI20" t="str">
            <v>B4-96-91-53-29-E0</v>
          </cell>
          <cell r="AP20" t="str">
            <v>DROP221</v>
          </cell>
          <cell r="AQ20" t="str">
            <v>Microsoft Windows 10 Enterprise 2016 LTSB</v>
          </cell>
          <cell r="AR20" t="str">
            <v>10.0.14393 N/A Build 14393</v>
          </cell>
          <cell r="AS20" t="str">
            <v>x64-based PC</v>
          </cell>
          <cell r="AT20" t="str">
            <v>McAfee Endpoint Security</v>
          </cell>
          <cell r="AU20">
            <v>10.7</v>
          </cell>
          <cell r="AV20" t="str">
            <v>WDC WD10EZEX-75WN4A0</v>
          </cell>
          <cell r="AX20" t="str">
            <v>WDDM 1.3</v>
          </cell>
          <cell r="AY20" t="str">
            <v>Microsoft Basic Display Adapter</v>
          </cell>
          <cell r="AZ20" t="str">
            <v>WDDM 2.1</v>
          </cell>
          <cell r="BA20" t="str">
            <v>Intel(R) HD Graphics 530</v>
          </cell>
          <cell r="BD20" t="str">
            <v>PLDS DVD+-RW DU-8A5LH</v>
          </cell>
          <cell r="BE20" t="str">
            <v>Ovation</v>
          </cell>
          <cell r="CG20">
            <v>43739</v>
          </cell>
        </row>
        <row r="21">
          <cell r="F21">
            <v>19</v>
          </cell>
          <cell r="G21" t="str">
            <v>IC-SA-SER-0019</v>
          </cell>
          <cell r="H21" t="str">
            <v>서버</v>
          </cell>
          <cell r="I21" t="str">
            <v>PWCS</v>
          </cell>
          <cell r="J21" t="str">
            <v>PWCSVMhost</v>
          </cell>
          <cell r="K21" t="str">
            <v>PWCS</v>
          </cell>
          <cell r="L21" t="str">
            <v>연료전지 1단계</v>
          </cell>
          <cell r="M21" t="str">
            <v>192.168.124.6</v>
          </cell>
          <cell r="N21" t="str">
            <v>하</v>
          </cell>
          <cell r="O21" t="str">
            <v>DELL EMC R740</v>
          </cell>
          <cell r="P21" t="str">
            <v>Linux</v>
          </cell>
          <cell r="Q21" t="str">
            <v>임베디드</v>
          </cell>
          <cell r="CG21">
            <v>44805</v>
          </cell>
        </row>
        <row r="22">
          <cell r="F22">
            <v>20</v>
          </cell>
          <cell r="G22" t="str">
            <v>IC-SA-SER-0020</v>
          </cell>
          <cell r="H22" t="str">
            <v>서버</v>
          </cell>
          <cell r="I22" t="str">
            <v>PWCS</v>
          </cell>
          <cell r="J22" t="str">
            <v>PWCSEPO</v>
          </cell>
          <cell r="K22" t="str">
            <v>PWCS</v>
          </cell>
          <cell r="L22" t="str">
            <v>연료전지 1단계</v>
          </cell>
          <cell r="M22" t="str">
            <v>192.168.124.18</v>
          </cell>
          <cell r="N22" t="str">
            <v>하</v>
          </cell>
          <cell r="O22" t="str">
            <v>VMware7,1</v>
          </cell>
          <cell r="P22" t="str">
            <v>Win server 2019</v>
          </cell>
          <cell r="R22" t="str">
            <v>VMware7,1</v>
          </cell>
          <cell r="S22" t="str">
            <v>VMware-56 4d 2a 9c ce 57 42 4a-5c b3 fb 91 63 fe ff 7e</v>
          </cell>
          <cell r="T22" t="str">
            <v>Intel(R) Xeon(R) Gold 6230 CPU @ 2.10GHz</v>
          </cell>
          <cell r="U22" t="str">
            <v>16GB</v>
          </cell>
          <cell r="V22" t="str">
            <v>VMW-16384MB</v>
          </cell>
          <cell r="W22">
            <v>1</v>
          </cell>
          <cell r="AD22" t="str">
            <v>192.168.124.18</v>
          </cell>
          <cell r="AE22" t="str">
            <v>255.255.255.0</v>
          </cell>
          <cell r="AF22" t="str">
            <v>192.168.124.9</v>
          </cell>
          <cell r="AG22" t="str">
            <v>192.168.2.200</v>
          </cell>
          <cell r="AH22" t="str">
            <v>vmxnet3 Ethernet Adapter</v>
          </cell>
          <cell r="AI22" t="str">
            <v>00-0C-29-FE-FF-7E</v>
          </cell>
          <cell r="AP22" t="str">
            <v>PWCSEPO</v>
          </cell>
          <cell r="AQ22" t="str">
            <v>Microsoft Windows Server 2019 Standard</v>
          </cell>
          <cell r="AR22" t="str">
            <v>10.0.17763 N/A Build 17763</v>
          </cell>
          <cell r="AS22" t="str">
            <v>x64-based PC</v>
          </cell>
          <cell r="AT22" t="str">
            <v>McAfee Endpoint Security</v>
          </cell>
          <cell r="AU22">
            <v>10.7</v>
          </cell>
          <cell r="AV22" t="str">
            <v>VMware Virtual disk</v>
          </cell>
          <cell r="AX22" t="str">
            <v>WDDM 1.3</v>
          </cell>
          <cell r="AY22" t="str">
            <v>VMware SVGA 3D</v>
          </cell>
          <cell r="BD22" t="str">
            <v>NECVMWar VMware SATA CD00</v>
          </cell>
          <cell r="CG22">
            <v>44805</v>
          </cell>
        </row>
        <row r="23">
          <cell r="F23">
            <v>21</v>
          </cell>
          <cell r="G23" t="str">
            <v>IC-SA-SER-0021</v>
          </cell>
          <cell r="H23" t="str">
            <v>서버</v>
          </cell>
          <cell r="I23" t="str">
            <v>PWCS</v>
          </cell>
          <cell r="J23" t="str">
            <v>PWCSSBR</v>
          </cell>
          <cell r="K23" t="str">
            <v>PWCS</v>
          </cell>
          <cell r="L23" t="str">
            <v>연료전지 1단계</v>
          </cell>
          <cell r="M23" t="str">
            <v>192.168.124.26</v>
          </cell>
          <cell r="N23" t="str">
            <v>하</v>
          </cell>
          <cell r="O23" t="str">
            <v>VMware7,1</v>
          </cell>
          <cell r="P23" t="str">
            <v>Win server 2019</v>
          </cell>
          <cell r="R23" t="str">
            <v>VMware7,1</v>
          </cell>
          <cell r="S23" t="str">
            <v xml:space="preserve"> VMware-56 4d 05 4a d1 e0 83 f8-20 76 f4 98 fc a9 88 a0</v>
          </cell>
          <cell r="T23" t="str">
            <v>Intel(R) Xeon(R) Gold 6230 CPU @ 2.10GHz</v>
          </cell>
          <cell r="U23" t="str">
            <v>16GB</v>
          </cell>
          <cell r="V23" t="str">
            <v>VMW-16384MB</v>
          </cell>
          <cell r="W23">
            <v>1</v>
          </cell>
          <cell r="AD23" t="str">
            <v>192.168.124.26</v>
          </cell>
          <cell r="AE23" t="str">
            <v>255.255.255.0</v>
          </cell>
          <cell r="AF23" t="str">
            <v>192.168.124.9</v>
          </cell>
          <cell r="AG23" t="str">
            <v>192.168.2.200</v>
          </cell>
          <cell r="AH23" t="str">
            <v>vmxnet3 Ethernet Adapter</v>
          </cell>
          <cell r="AI23" t="str">
            <v>00-0C-29-A9-88-A0</v>
          </cell>
          <cell r="AP23" t="str">
            <v>PWCSSBR</v>
          </cell>
          <cell r="AQ23" t="str">
            <v>Microsoft Windows Server 2019 Standard</v>
          </cell>
          <cell r="AR23" t="str">
            <v>10.0.17763 N/A Build 17763</v>
          </cell>
          <cell r="AS23" t="str">
            <v>x64-based PC</v>
          </cell>
          <cell r="AT23" t="str">
            <v>McAfee Endpoint Security</v>
          </cell>
          <cell r="AU23">
            <v>10.7</v>
          </cell>
          <cell r="AV23" t="str">
            <v>VMware Virtual disk</v>
          </cell>
          <cell r="AX23" t="str">
            <v>WDDM 1.3</v>
          </cell>
          <cell r="AY23" t="str">
            <v>VMware SVGA 3D</v>
          </cell>
          <cell r="BD23" t="str">
            <v>NECVMWar VMware SATA CD00</v>
          </cell>
          <cell r="CG23">
            <v>44805</v>
          </cell>
        </row>
        <row r="24">
          <cell r="F24">
            <v>22</v>
          </cell>
          <cell r="G24" t="str">
            <v>IC-SA-SER-0022</v>
          </cell>
          <cell r="H24" t="str">
            <v>서버</v>
          </cell>
          <cell r="I24" t="str">
            <v>PWCS</v>
          </cell>
          <cell r="J24" t="str">
            <v>PWCS NAS</v>
          </cell>
          <cell r="K24" t="str">
            <v>PWCS</v>
          </cell>
          <cell r="L24" t="str">
            <v>연료전지 1단계</v>
          </cell>
          <cell r="M24" t="str">
            <v>192.168.124.42</v>
          </cell>
          <cell r="N24" t="str">
            <v>하</v>
          </cell>
          <cell r="O24" t="str">
            <v>Synology RS2421RP+</v>
          </cell>
          <cell r="P24" t="str">
            <v>Linux</v>
          </cell>
          <cell r="Q24" t="str">
            <v>임베디드</v>
          </cell>
          <cell r="CG24">
            <v>44805</v>
          </cell>
        </row>
        <row r="25">
          <cell r="F25">
            <v>23</v>
          </cell>
          <cell r="G25" t="str">
            <v>IC-SA-SER-0023</v>
          </cell>
          <cell r="H25" t="str">
            <v>서버</v>
          </cell>
          <cell r="I25" t="str">
            <v>PWCS</v>
          </cell>
          <cell r="J25" t="str">
            <v>PWCS SIEM</v>
          </cell>
          <cell r="K25" t="str">
            <v>PWCS</v>
          </cell>
          <cell r="L25" t="str">
            <v>연료전지 1단계</v>
          </cell>
          <cell r="M25" t="str">
            <v>192.168.124.50</v>
          </cell>
          <cell r="N25" t="str">
            <v>하</v>
          </cell>
          <cell r="O25" t="str">
            <v>McAfee ENMELM-5775</v>
          </cell>
          <cell r="P25" t="str">
            <v>Linux</v>
          </cell>
          <cell r="Q25" t="str">
            <v>임베디드</v>
          </cell>
          <cell r="CG25">
            <v>44805</v>
          </cell>
        </row>
        <row r="26">
          <cell r="F26">
            <v>24</v>
          </cell>
          <cell r="G26" t="str">
            <v>IC-SA-SER-0024</v>
          </cell>
          <cell r="H26" t="str">
            <v>서버</v>
          </cell>
          <cell r="I26" t="str">
            <v>PWCS</v>
          </cell>
          <cell r="J26" t="str">
            <v>PWCS UI</v>
          </cell>
          <cell r="K26" t="str">
            <v>PWCS</v>
          </cell>
          <cell r="L26" t="str">
            <v>연료전지 1단계</v>
          </cell>
          <cell r="M26" t="str">
            <v>192.168.124.2</v>
          </cell>
          <cell r="N26" t="str">
            <v>하</v>
          </cell>
          <cell r="O26" t="str">
            <v>DELL OptiPlex XE3</v>
          </cell>
          <cell r="P26" t="str">
            <v>Win10 LTSC</v>
          </cell>
          <cell r="R26" t="str">
            <v>OptiPlex XE3</v>
          </cell>
          <cell r="S26" t="str">
            <v>D57SYP3</v>
          </cell>
          <cell r="T26" t="str">
            <v>Intel(R) Core(TM) i5-8500 CPU @ 3.00GHz</v>
          </cell>
          <cell r="U26" t="str">
            <v>8GB* 2EA</v>
          </cell>
          <cell r="V26" t="str">
            <v>M378A1G44BB0-CWE</v>
          </cell>
          <cell r="W26" t="str">
            <v>3357A174</v>
          </cell>
          <cell r="X26" t="str">
            <v>M378A1G44BB0-CWE</v>
          </cell>
          <cell r="Y26" t="str">
            <v>3357A090</v>
          </cell>
          <cell r="AD26" t="str">
            <v>192.168.124.2</v>
          </cell>
          <cell r="AE26" t="str">
            <v>255.255.255.0</v>
          </cell>
          <cell r="AF26" t="str">
            <v>192.168.124.9</v>
          </cell>
          <cell r="AG26" t="str">
            <v>192.168.2.200</v>
          </cell>
          <cell r="AH26" t="str">
            <v>Broadcom NetXtreme Gigabit Ethernet</v>
          </cell>
          <cell r="AI26" t="str">
            <v>5C-6F-69-2D-DE-34</v>
          </cell>
          <cell r="AP26" t="str">
            <v>PWCSUI</v>
          </cell>
          <cell r="AQ26" t="str">
            <v>Microsoft Windows 10 Enterprise LTSC</v>
          </cell>
          <cell r="AR26" t="str">
            <v>10.0.17763 N/A Build 17763</v>
          </cell>
          <cell r="AS26" t="str">
            <v>x64-based PC</v>
          </cell>
          <cell r="AT26" t="str">
            <v>McAfee Endpoint Security</v>
          </cell>
          <cell r="AU26">
            <v>10.7</v>
          </cell>
          <cell r="AV26" t="str">
            <v>BC711 NVMe SK hynix 256GB</v>
          </cell>
          <cell r="AX26" t="str">
            <v>WDDM 2.5</v>
          </cell>
          <cell r="AY26" t="str">
            <v>NVIDIA GeForce GT 730</v>
          </cell>
          <cell r="AZ26" t="str">
            <v>WDDM 2.4</v>
          </cell>
          <cell r="BA26" t="str">
            <v>Intel(R) UHD Graphics 630</v>
          </cell>
          <cell r="BD26" t="str">
            <v>PLDS DVD+-RW DU-8A5LH</v>
          </cell>
          <cell r="CG26">
            <v>44805</v>
          </cell>
        </row>
        <row r="27">
          <cell r="F27">
            <v>25</v>
          </cell>
          <cell r="G27" t="str">
            <v>IC-SA-SER-0025</v>
          </cell>
          <cell r="H27" t="str">
            <v>서버</v>
          </cell>
          <cell r="I27" t="str">
            <v>연료전지</v>
          </cell>
          <cell r="J27" t="str">
            <v>5단계 EWS DROP 204</v>
          </cell>
          <cell r="K27" t="str">
            <v>연료전지운영제어</v>
          </cell>
          <cell r="L27" t="str">
            <v>연료전지 5단계</v>
          </cell>
          <cell r="M27" t="str">
            <v>192.168.2.204</v>
          </cell>
          <cell r="N27" t="str">
            <v>중</v>
          </cell>
          <cell r="O27" t="str">
            <v>PowerEdge T440</v>
          </cell>
          <cell r="P27" t="str">
            <v>Win server 2012</v>
          </cell>
          <cell r="R27" t="str">
            <v>PowerEdge T440</v>
          </cell>
          <cell r="S27" t="str">
            <v>6QZJKW3</v>
          </cell>
          <cell r="T27" t="str">
            <v>Intel(R) Xeon(R) Silver 4112 CPU @ 2.60GHz</v>
          </cell>
          <cell r="U27" t="str">
            <v>8GB* 2EA</v>
          </cell>
          <cell r="V27" t="str">
            <v>HMA81GR7CJR8N-XN</v>
          </cell>
          <cell r="W27" t="str">
            <v>86674FC8</v>
          </cell>
          <cell r="X27" t="str">
            <v>HMA81GR7CJR8N-XN</v>
          </cell>
          <cell r="Y27" t="str">
            <v>86674FC4</v>
          </cell>
          <cell r="AD27" t="str">
            <v>192.168.2.204</v>
          </cell>
          <cell r="AE27" t="str">
            <v>255.255.254.0</v>
          </cell>
          <cell r="AF27" t="str">
            <v>192.168.3.254</v>
          </cell>
          <cell r="AG27" t="str">
            <v>192.168.2.200</v>
          </cell>
          <cell r="AH27" t="str">
            <v>Microsoft Network Adapter Multiplexor Driver</v>
          </cell>
          <cell r="AI27" t="str">
            <v>E4-3D-1A-B2-D3-DC</v>
          </cell>
          <cell r="AP27" t="str">
            <v>DROP204</v>
          </cell>
          <cell r="AQ27" t="str">
            <v>Microsoft Windows Server 2012 R2 Standard</v>
          </cell>
          <cell r="AR27" t="str">
            <v>6.3.9600 N/A Build 9600</v>
          </cell>
          <cell r="AS27" t="str">
            <v>x64-based PC</v>
          </cell>
          <cell r="AT27" t="str">
            <v>McAfee Endpoint Security</v>
          </cell>
          <cell r="AU27">
            <v>10.7</v>
          </cell>
          <cell r="AV27" t="str">
            <v>DELL PERC H750 Adp SCSI Disk Device</v>
          </cell>
          <cell r="AX27" t="str">
            <v>WDDM 1.3</v>
          </cell>
          <cell r="AY27" t="str">
            <v>NVIDIA Quadro P600</v>
          </cell>
          <cell r="BD27" t="str">
            <v>HL-DT-ST DVD+-RW GU90N</v>
          </cell>
          <cell r="BE27" t="str">
            <v>Ovation</v>
          </cell>
          <cell r="CG27">
            <v>45474</v>
          </cell>
        </row>
        <row r="28">
          <cell r="F28">
            <v>26</v>
          </cell>
          <cell r="G28" t="str">
            <v>IC-SA-SER-0026</v>
          </cell>
          <cell r="H28" t="str">
            <v>서버</v>
          </cell>
          <cell r="I28" t="str">
            <v>연료전지</v>
          </cell>
          <cell r="J28" t="str">
            <v>DROP 219</v>
          </cell>
          <cell r="K28" t="str">
            <v>연료전지운영제어</v>
          </cell>
          <cell r="L28" t="str">
            <v>연료전지 통합제어실</v>
          </cell>
          <cell r="M28" t="str">
            <v>192.168.2.219</v>
          </cell>
          <cell r="N28" t="str">
            <v>하</v>
          </cell>
          <cell r="O28" t="str">
            <v>OptiPlex XE3</v>
          </cell>
          <cell r="P28" t="str">
            <v>Win10 LTSC</v>
          </cell>
          <cell r="R28" t="str">
            <v>OptiPlex XE3</v>
          </cell>
          <cell r="S28" t="str">
            <v>JTW5Y53</v>
          </cell>
          <cell r="T28" t="str">
            <v>Intel(R) Core(TM) i5-8500 CPU @ 3.00GHz</v>
          </cell>
          <cell r="U28" t="str">
            <v>8GB</v>
          </cell>
          <cell r="V28" t="str">
            <v>HMA81GU6JJR8N-VK</v>
          </cell>
          <cell r="W28" t="str">
            <v>2030FC09</v>
          </cell>
          <cell r="AD28" t="str">
            <v>192.168.2.219</v>
          </cell>
          <cell r="AE28" t="str">
            <v>255.255.254.0</v>
          </cell>
          <cell r="AF28" t="str">
            <v>192.168.3.254</v>
          </cell>
          <cell r="AG28" t="str">
            <v>192.168.2.200</v>
          </cell>
          <cell r="AH28" t="str">
            <v>Broadcom NetXtreme Gigabit Ethernet #4</v>
          </cell>
          <cell r="AI28" t="str">
            <v>BC-97-E1-4F-2F-09</v>
          </cell>
          <cell r="AP28" t="str">
            <v>DROP219</v>
          </cell>
          <cell r="AQ28" t="str">
            <v>Microsoft Windows 10 Enterprise LTSC</v>
          </cell>
          <cell r="AR28" t="str">
            <v>10.0.17763 N/A Build 17763</v>
          </cell>
          <cell r="AS28" t="str">
            <v>x64-based PC</v>
          </cell>
          <cell r="AT28" t="str">
            <v>McAfee Endpoint Security</v>
          </cell>
          <cell r="AU28">
            <v>10.7</v>
          </cell>
          <cell r="AV28" t="str">
            <v>ST1000LM049-2GH172</v>
          </cell>
          <cell r="AX28" t="str">
            <v>WDDM 2.4</v>
          </cell>
          <cell r="AY28" t="str">
            <v>Intel(R) UHD Graphics 630</v>
          </cell>
          <cell r="AZ28" t="str">
            <v>WDDM 2.4</v>
          </cell>
          <cell r="BA28" t="str">
            <v>Intel(R) UHD Graphics 630</v>
          </cell>
          <cell r="BB28" t="str">
            <v>WDDM 2.4</v>
          </cell>
          <cell r="BC28" t="str">
            <v>AMD Radeon R5 430</v>
          </cell>
          <cell r="BD28" t="str">
            <v>HL-DT-ST DVD+-RW GU90N</v>
          </cell>
          <cell r="BE28" t="str">
            <v>Ovation</v>
          </cell>
          <cell r="CG28">
            <v>45474</v>
          </cell>
        </row>
        <row r="29">
          <cell r="F29">
            <v>51</v>
          </cell>
          <cell r="G29" t="str">
            <v>IC-SA-SER-0027</v>
          </cell>
          <cell r="H29" t="str">
            <v>서버</v>
          </cell>
          <cell r="I29" t="str">
            <v>연료전지</v>
          </cell>
          <cell r="J29" t="str">
            <v>연료전지 OPC Client</v>
          </cell>
          <cell r="L29" t="str">
            <v>1단계 전자기기실</v>
          </cell>
          <cell r="N29" t="str">
            <v>중</v>
          </cell>
          <cell r="O29" t="str">
            <v>HP Z230</v>
          </cell>
          <cell r="R29" t="str">
            <v>HP Z230</v>
          </cell>
          <cell r="S29" t="str">
            <v>6CR545W1Y5</v>
          </cell>
          <cell r="T29" t="str">
            <v>Intel(R) Xeon(R) CPU E3-1225 v3 @ 3.20GHz</v>
          </cell>
          <cell r="U29" t="str">
            <v>2GB*4</v>
          </cell>
          <cell r="V29" t="str">
            <v xml:space="preserve">9KSF25672AZ-1G6K1 </v>
          </cell>
          <cell r="W29" t="str">
            <v>0F0FBFE0</v>
          </cell>
          <cell r="X29" t="str">
            <v xml:space="preserve">9KSF25672AZ-1G6K1 </v>
          </cell>
          <cell r="Y29" t="str">
            <v>0F0FC0B2</v>
          </cell>
          <cell r="Z29" t="str">
            <v xml:space="preserve">9KSF25672AZ-1G6K1 </v>
          </cell>
          <cell r="AA29" t="str">
            <v>0F0FC02F</v>
          </cell>
          <cell r="AB29" t="str">
            <v xml:space="preserve">9KSF25672AZ-1G6K1 </v>
          </cell>
          <cell r="AC29" t="str">
            <v>0F0FBFDF</v>
          </cell>
          <cell r="AD29" t="str">
            <v>192.168.10.100</v>
          </cell>
          <cell r="AE29" t="str">
            <v>255.255.255.0</v>
          </cell>
          <cell r="AH29" t="str">
            <v>Intel(R) Ethernet I210-T1 GbE NIC</v>
          </cell>
          <cell r="AI29" t="str">
            <v>A0-36-9F-75-E7-A1</v>
          </cell>
          <cell r="AP29" t="str">
            <v>DESKTOP-RNG5P8V</v>
          </cell>
          <cell r="AQ29" t="str">
            <v>Microsoft Windows 10 Pro</v>
          </cell>
          <cell r="AR29" t="str">
            <v>10.0.18363 N/A Build 18363</v>
          </cell>
          <cell r="AS29" t="str">
            <v>x64-based PC</v>
          </cell>
          <cell r="AX29" t="str">
            <v>Unknown</v>
          </cell>
          <cell r="AY29" t="str">
            <v>Microsoft 기본 디스플레이 어댑터</v>
          </cell>
          <cell r="BD29" t="str">
            <v>hp DVDRAM GTB0N</v>
          </cell>
          <cell r="CG29">
            <v>42339</v>
          </cell>
        </row>
        <row r="30">
          <cell r="R30" t="str">
            <v>model</v>
          </cell>
          <cell r="S30" t="str">
            <v>IP</v>
          </cell>
          <cell r="T30" t="str">
            <v>Subnetmarsk</v>
          </cell>
          <cell r="U30" t="str">
            <v>gateway</v>
          </cell>
          <cell r="V30" t="str">
            <v>hostname</v>
          </cell>
          <cell r="W30" t="str">
            <v>SW version</v>
          </cell>
          <cell r="X30" t="str">
            <v>SW Image</v>
          </cell>
          <cell r="Y30" t="str">
            <v>Version ID</v>
          </cell>
          <cell r="Z30" t="str">
            <v>CLEI Code Number</v>
          </cell>
          <cell r="AA30" t="str">
            <v>Agent Features</v>
          </cell>
          <cell r="AB30" t="str">
            <v>Time Server</v>
          </cell>
        </row>
        <row r="31">
          <cell r="R31" t="str">
            <v>Model number</v>
          </cell>
          <cell r="S31" t="str">
            <v>interface Vlan1</v>
          </cell>
          <cell r="T31" t="str">
            <v>interface Vlan1</v>
          </cell>
          <cell r="U31" t="str">
            <v xml:space="preserve">ip default-gateway </v>
          </cell>
          <cell r="W31" t="str">
            <v>sh ver</v>
          </cell>
          <cell r="X31" t="str">
            <v>sh ver</v>
          </cell>
          <cell r="Y31" t="str">
            <v>sh ver</v>
          </cell>
          <cell r="Z31" t="str">
            <v>sh ver</v>
          </cell>
          <cell r="AB31" t="str">
            <v>sh ntp status</v>
          </cell>
          <cell r="AC31" t="str">
            <v>sh int status</v>
          </cell>
        </row>
        <row r="32">
          <cell r="F32">
            <v>27</v>
          </cell>
          <cell r="G32" t="str">
            <v>IC-SA-NW-0001</v>
          </cell>
          <cell r="H32" t="str">
            <v>네트워크</v>
          </cell>
          <cell r="I32" t="str">
            <v>연료전지</v>
          </cell>
          <cell r="J32" t="str">
            <v>1단계 ROOT S/W(PRI)</v>
          </cell>
          <cell r="K32" t="str">
            <v>연료전지운영제어</v>
          </cell>
          <cell r="L32" t="str">
            <v>연료전지 1단계</v>
          </cell>
          <cell r="M32" t="str">
            <v>192.168.3.1</v>
          </cell>
          <cell r="N32" t="str">
            <v>중</v>
          </cell>
          <cell r="O32" t="str">
            <v>Cisco Catalyst  2960</v>
          </cell>
          <cell r="R32" t="str">
            <v>WS-C2960+24TC-L</v>
          </cell>
          <cell r="S32" t="str">
            <v>192.168.3.1</v>
          </cell>
          <cell r="T32" t="str">
            <v>255.255.254.0</v>
          </cell>
          <cell r="U32" t="str">
            <v>192.168.3.254</v>
          </cell>
          <cell r="V32" t="str">
            <v>pri-root-sw</v>
          </cell>
          <cell r="W32" t="str">
            <v>15.2(1)E2</v>
          </cell>
          <cell r="X32" t="str">
            <v>C2960-LANBASEK9-M</v>
          </cell>
          <cell r="Y32" t="str">
            <v>V02</v>
          </cell>
          <cell r="Z32" t="str">
            <v>CMMKV00ARB</v>
          </cell>
          <cell r="AA32" t="str">
            <v>SSH</v>
          </cell>
          <cell r="AB32" t="str">
            <v>192.168.2.200</v>
          </cell>
          <cell r="AC32">
            <v>1</v>
          </cell>
          <cell r="AD32" t="str">
            <v>connected</v>
          </cell>
          <cell r="AE32">
            <v>2</v>
          </cell>
          <cell r="AF32" t="str">
            <v>connected</v>
          </cell>
          <cell r="AG32">
            <v>3</v>
          </cell>
          <cell r="AH32" t="str">
            <v>connected</v>
          </cell>
          <cell r="AI32">
            <v>4</v>
          </cell>
          <cell r="AJ32" t="str">
            <v>connected</v>
          </cell>
          <cell r="AK32">
            <v>5</v>
          </cell>
          <cell r="AL32" t="str">
            <v>connected</v>
          </cell>
          <cell r="AM32">
            <v>6</v>
          </cell>
          <cell r="AN32" t="str">
            <v>disabled</v>
          </cell>
          <cell r="AO32">
            <v>7</v>
          </cell>
          <cell r="AP32" t="str">
            <v>connected</v>
          </cell>
          <cell r="AQ32">
            <v>8</v>
          </cell>
          <cell r="AR32" t="str">
            <v>disabled</v>
          </cell>
          <cell r="AS32">
            <v>9</v>
          </cell>
          <cell r="AT32" t="str">
            <v>connected</v>
          </cell>
          <cell r="AU32">
            <v>10</v>
          </cell>
          <cell r="AV32" t="str">
            <v>connected</v>
          </cell>
          <cell r="AW32">
            <v>11</v>
          </cell>
          <cell r="AX32" t="str">
            <v>connected</v>
          </cell>
          <cell r="AY32">
            <v>12</v>
          </cell>
          <cell r="AZ32" t="str">
            <v>connected</v>
          </cell>
          <cell r="BA32">
            <v>13</v>
          </cell>
          <cell r="BB32" t="str">
            <v>connected</v>
          </cell>
          <cell r="BC32">
            <v>14</v>
          </cell>
          <cell r="BD32" t="str">
            <v>connected</v>
          </cell>
          <cell r="BE32">
            <v>15</v>
          </cell>
          <cell r="BF32" t="str">
            <v>connected</v>
          </cell>
          <cell r="BG32">
            <v>16</v>
          </cell>
          <cell r="BH32" t="str">
            <v>connected</v>
          </cell>
          <cell r="BI32">
            <v>17</v>
          </cell>
          <cell r="BJ32" t="str">
            <v>connected</v>
          </cell>
          <cell r="BK32">
            <v>18</v>
          </cell>
          <cell r="BL32" t="str">
            <v>disabled</v>
          </cell>
          <cell r="BM32">
            <v>19</v>
          </cell>
          <cell r="BN32" t="str">
            <v>connected</v>
          </cell>
          <cell r="BO32">
            <v>20</v>
          </cell>
          <cell r="BP32" t="str">
            <v>disabled</v>
          </cell>
          <cell r="BQ32">
            <v>21</v>
          </cell>
          <cell r="BR32" t="str">
            <v>connected</v>
          </cell>
          <cell r="BS32">
            <v>22</v>
          </cell>
          <cell r="BT32" t="str">
            <v>connected</v>
          </cell>
          <cell r="BU32">
            <v>23</v>
          </cell>
          <cell r="BV32" t="str">
            <v>connected</v>
          </cell>
          <cell r="BW32">
            <v>24</v>
          </cell>
          <cell r="BX32" t="str">
            <v>connected</v>
          </cell>
          <cell r="BY32">
            <v>25</v>
          </cell>
          <cell r="BZ32" t="str">
            <v>disabled</v>
          </cell>
          <cell r="CA32">
            <v>26</v>
          </cell>
          <cell r="CB32" t="str">
            <v>disabled</v>
          </cell>
          <cell r="CC32">
            <v>27</v>
          </cell>
          <cell r="CD32" t="str">
            <v>disabled</v>
          </cell>
          <cell r="CE32">
            <v>28</v>
          </cell>
          <cell r="CF32" t="str">
            <v>disabled</v>
          </cell>
          <cell r="CG32">
            <v>42887</v>
          </cell>
        </row>
        <row r="33">
          <cell r="F33">
            <v>28</v>
          </cell>
          <cell r="G33" t="str">
            <v>IC-SA-NW-0002</v>
          </cell>
          <cell r="H33" t="str">
            <v>네트워크</v>
          </cell>
          <cell r="I33" t="str">
            <v>연료전지</v>
          </cell>
          <cell r="J33" t="str">
            <v>1단계 ROOT S/W(SEC)</v>
          </cell>
          <cell r="K33" t="str">
            <v>연료전지운영제어</v>
          </cell>
          <cell r="L33" t="str">
            <v>연료전지 1단계</v>
          </cell>
          <cell r="M33" t="str">
            <v>192.168.3.2</v>
          </cell>
          <cell r="N33" t="str">
            <v>중</v>
          </cell>
          <cell r="O33" t="str">
            <v>Cisco Catalyst  2960</v>
          </cell>
          <cell r="R33" t="str">
            <v>WS-C2960+24TC-L</v>
          </cell>
          <cell r="S33" t="str">
            <v>192.168.3.2</v>
          </cell>
          <cell r="T33" t="str">
            <v>255.255.254.0</v>
          </cell>
          <cell r="U33" t="str">
            <v>192.168.3.254</v>
          </cell>
          <cell r="V33" t="str">
            <v>sec-root-sw</v>
          </cell>
          <cell r="W33" t="str">
            <v>15.2(1)E2</v>
          </cell>
          <cell r="X33" t="str">
            <v>C2960-LANBASEK9-M</v>
          </cell>
          <cell r="Y33" t="str">
            <v>V02</v>
          </cell>
          <cell r="Z33" t="str">
            <v>CMMKV00ARB</v>
          </cell>
          <cell r="AA33" t="str">
            <v>SSH</v>
          </cell>
          <cell r="AB33" t="str">
            <v>192.168.2.200</v>
          </cell>
          <cell r="AC33">
            <v>1</v>
          </cell>
          <cell r="AD33" t="str">
            <v>disabled</v>
          </cell>
          <cell r="AE33">
            <v>2</v>
          </cell>
          <cell r="AF33" t="str">
            <v>connected</v>
          </cell>
          <cell r="AG33">
            <v>3</v>
          </cell>
          <cell r="AH33" t="str">
            <v>connected</v>
          </cell>
          <cell r="AI33">
            <v>4</v>
          </cell>
          <cell r="AJ33" t="str">
            <v>disabled</v>
          </cell>
          <cell r="AK33">
            <v>5</v>
          </cell>
          <cell r="AL33" t="str">
            <v>connected</v>
          </cell>
          <cell r="AM33">
            <v>6</v>
          </cell>
          <cell r="AN33" t="str">
            <v>connected</v>
          </cell>
          <cell r="AO33">
            <v>7</v>
          </cell>
          <cell r="AP33" t="str">
            <v>connected</v>
          </cell>
          <cell r="AQ33">
            <v>8</v>
          </cell>
          <cell r="AR33" t="str">
            <v>disabled</v>
          </cell>
          <cell r="AS33">
            <v>9</v>
          </cell>
          <cell r="AT33" t="str">
            <v>connected</v>
          </cell>
          <cell r="AU33">
            <v>10</v>
          </cell>
          <cell r="AV33" t="str">
            <v>connected</v>
          </cell>
          <cell r="AW33">
            <v>11</v>
          </cell>
          <cell r="AX33" t="str">
            <v>connected</v>
          </cell>
          <cell r="AY33">
            <v>12</v>
          </cell>
          <cell r="AZ33" t="str">
            <v>connected</v>
          </cell>
          <cell r="BA33">
            <v>13</v>
          </cell>
          <cell r="BB33" t="str">
            <v>connected</v>
          </cell>
          <cell r="BC33">
            <v>14</v>
          </cell>
          <cell r="BD33" t="str">
            <v>connected</v>
          </cell>
          <cell r="BE33">
            <v>15</v>
          </cell>
          <cell r="BF33" t="str">
            <v>connected</v>
          </cell>
          <cell r="BG33">
            <v>16</v>
          </cell>
          <cell r="BH33" t="str">
            <v>connected</v>
          </cell>
          <cell r="BI33">
            <v>17</v>
          </cell>
          <cell r="BJ33" t="str">
            <v>connected</v>
          </cell>
          <cell r="BK33">
            <v>18</v>
          </cell>
          <cell r="BL33" t="str">
            <v>disabled</v>
          </cell>
          <cell r="BM33">
            <v>19</v>
          </cell>
          <cell r="BN33" t="str">
            <v>disabled</v>
          </cell>
          <cell r="BO33">
            <v>20</v>
          </cell>
          <cell r="BP33" t="str">
            <v>disabled</v>
          </cell>
          <cell r="BQ33">
            <v>21</v>
          </cell>
          <cell r="BR33" t="str">
            <v>connected</v>
          </cell>
          <cell r="BS33">
            <v>22</v>
          </cell>
          <cell r="BT33" t="str">
            <v>connected</v>
          </cell>
          <cell r="BU33">
            <v>23</v>
          </cell>
          <cell r="BV33" t="str">
            <v>connected</v>
          </cell>
          <cell r="BW33">
            <v>24</v>
          </cell>
          <cell r="BX33" t="str">
            <v>disabled</v>
          </cell>
          <cell r="BY33">
            <v>25</v>
          </cell>
          <cell r="BZ33" t="str">
            <v>disabled</v>
          </cell>
          <cell r="CA33">
            <v>26</v>
          </cell>
          <cell r="CB33" t="str">
            <v>disabled</v>
          </cell>
          <cell r="CC33">
            <v>27</v>
          </cell>
          <cell r="CD33" t="str">
            <v>disabled</v>
          </cell>
          <cell r="CE33">
            <v>28</v>
          </cell>
          <cell r="CF33" t="str">
            <v>disabled</v>
          </cell>
          <cell r="CG33">
            <v>42887</v>
          </cell>
        </row>
        <row r="34">
          <cell r="F34">
            <v>29</v>
          </cell>
          <cell r="G34" t="str">
            <v>IC-SA-NW-0003</v>
          </cell>
          <cell r="H34" t="str">
            <v>네트워크</v>
          </cell>
          <cell r="I34" t="str">
            <v>연료전지</v>
          </cell>
          <cell r="J34" t="str">
            <v>1단계 IP Traffic S/W</v>
          </cell>
          <cell r="K34" t="str">
            <v>연료전지운영제어</v>
          </cell>
          <cell r="L34" t="str">
            <v>연료전지 1단계</v>
          </cell>
          <cell r="M34" t="str">
            <v>192.168.3.3</v>
          </cell>
          <cell r="N34" t="str">
            <v>중</v>
          </cell>
          <cell r="O34" t="str">
            <v>Cisco Catalyst  2960</v>
          </cell>
          <cell r="R34" t="str">
            <v>WS-C2960+24TC-L</v>
          </cell>
          <cell r="S34" t="str">
            <v>192.168.3.3</v>
          </cell>
          <cell r="T34" t="str">
            <v>255.255.254.0</v>
          </cell>
          <cell r="U34" t="str">
            <v>192.168.3.254</v>
          </cell>
          <cell r="V34" t="str">
            <v>iptraffic-sw</v>
          </cell>
          <cell r="W34" t="str">
            <v>15.2(1)E2</v>
          </cell>
          <cell r="X34" t="str">
            <v>C2960-LANBASEK9-M</v>
          </cell>
          <cell r="Y34" t="str">
            <v>V02</v>
          </cell>
          <cell r="Z34" t="str">
            <v>CMMKV00ARB</v>
          </cell>
          <cell r="AA34" t="str">
            <v>SSH</v>
          </cell>
          <cell r="AB34" t="str">
            <v>192.168.2.200</v>
          </cell>
          <cell r="AC34">
            <v>1</v>
          </cell>
          <cell r="AD34" t="str">
            <v>connected</v>
          </cell>
          <cell r="AE34">
            <v>2</v>
          </cell>
          <cell r="AF34" t="str">
            <v>disabled</v>
          </cell>
          <cell r="AG34">
            <v>3</v>
          </cell>
          <cell r="AH34" t="str">
            <v>disabled</v>
          </cell>
          <cell r="AI34">
            <v>4</v>
          </cell>
          <cell r="AJ34" t="str">
            <v>disabled</v>
          </cell>
          <cell r="AK34">
            <v>5</v>
          </cell>
          <cell r="AL34" t="str">
            <v>connected</v>
          </cell>
          <cell r="AM34">
            <v>6</v>
          </cell>
          <cell r="AN34" t="str">
            <v>connected</v>
          </cell>
          <cell r="AO34">
            <v>7</v>
          </cell>
          <cell r="AP34" t="str">
            <v>connected</v>
          </cell>
          <cell r="AQ34">
            <v>8</v>
          </cell>
          <cell r="AR34" t="str">
            <v>disabled</v>
          </cell>
          <cell r="AS34">
            <v>9</v>
          </cell>
          <cell r="AT34" t="str">
            <v>disabled</v>
          </cell>
          <cell r="AU34">
            <v>10</v>
          </cell>
          <cell r="AV34" t="str">
            <v>disabled</v>
          </cell>
          <cell r="AW34">
            <v>11</v>
          </cell>
          <cell r="AX34" t="str">
            <v>connected</v>
          </cell>
          <cell r="AY34">
            <v>12</v>
          </cell>
          <cell r="AZ34" t="str">
            <v>disabled</v>
          </cell>
          <cell r="BA34">
            <v>13</v>
          </cell>
          <cell r="BB34" t="str">
            <v>disabled</v>
          </cell>
          <cell r="BC34">
            <v>14</v>
          </cell>
          <cell r="BD34" t="str">
            <v>disabled</v>
          </cell>
          <cell r="BE34">
            <v>15</v>
          </cell>
          <cell r="BF34" t="str">
            <v>disabled</v>
          </cell>
          <cell r="BG34">
            <v>16</v>
          </cell>
          <cell r="BH34" t="str">
            <v>disabled</v>
          </cell>
          <cell r="BI34">
            <v>17</v>
          </cell>
          <cell r="BJ34" t="str">
            <v>disabled</v>
          </cell>
          <cell r="BK34">
            <v>18</v>
          </cell>
          <cell r="BL34" t="str">
            <v>disabled</v>
          </cell>
          <cell r="BM34">
            <v>19</v>
          </cell>
          <cell r="BN34" t="str">
            <v>disabled</v>
          </cell>
          <cell r="BO34">
            <v>20</v>
          </cell>
          <cell r="BP34" t="str">
            <v>disabled</v>
          </cell>
          <cell r="BQ34">
            <v>21</v>
          </cell>
          <cell r="BR34" t="str">
            <v>disabled</v>
          </cell>
          <cell r="BS34">
            <v>22</v>
          </cell>
          <cell r="BT34" t="str">
            <v>disabled</v>
          </cell>
          <cell r="BU34">
            <v>23</v>
          </cell>
          <cell r="BV34" t="str">
            <v>disabled</v>
          </cell>
          <cell r="BW34">
            <v>24</v>
          </cell>
          <cell r="BX34" t="str">
            <v>disabled</v>
          </cell>
          <cell r="BY34">
            <v>25</v>
          </cell>
          <cell r="BZ34" t="str">
            <v>disabled</v>
          </cell>
          <cell r="CA34">
            <v>26</v>
          </cell>
          <cell r="CB34" t="str">
            <v>disabled</v>
          </cell>
          <cell r="CC34">
            <v>27</v>
          </cell>
          <cell r="CD34" t="str">
            <v>disabled</v>
          </cell>
          <cell r="CE34">
            <v>28</v>
          </cell>
          <cell r="CF34" t="str">
            <v>disabled</v>
          </cell>
          <cell r="CG34">
            <v>42887</v>
          </cell>
        </row>
        <row r="35">
          <cell r="F35">
            <v>30</v>
          </cell>
          <cell r="G35" t="str">
            <v>IC-SA-NW-0004</v>
          </cell>
          <cell r="H35" t="str">
            <v>네트워크</v>
          </cell>
          <cell r="I35" t="str">
            <v>연료전지</v>
          </cell>
          <cell r="J35" t="str">
            <v>2단계 FAN OUT S/W(PRI)</v>
          </cell>
          <cell r="K35" t="str">
            <v>연료전지운영제어</v>
          </cell>
          <cell r="L35" t="str">
            <v>연료전지 2단계</v>
          </cell>
          <cell r="M35" t="str">
            <v>192.168.3.17</v>
          </cell>
          <cell r="N35" t="str">
            <v>중</v>
          </cell>
          <cell r="O35" t="str">
            <v>Cisco Catalyst  2960</v>
          </cell>
          <cell r="R35" t="str">
            <v>WS-C2960+24TC-L</v>
          </cell>
          <cell r="S35" t="str">
            <v>192.168.3.17</v>
          </cell>
          <cell r="T35" t="str">
            <v>255.255.254.0</v>
          </cell>
          <cell r="U35" t="str">
            <v>192.168.3.254</v>
          </cell>
          <cell r="V35" t="str">
            <v>pri-fanout-sw01</v>
          </cell>
          <cell r="W35" t="str">
            <v>15.2(1)E2</v>
          </cell>
          <cell r="X35" t="str">
            <v>C2960-LANBASEK9-M</v>
          </cell>
          <cell r="Y35" t="str">
            <v>V02</v>
          </cell>
          <cell r="Z35" t="str">
            <v>CMMKV00ARB</v>
          </cell>
          <cell r="AA35" t="str">
            <v>SSH</v>
          </cell>
          <cell r="AB35" t="str">
            <v>192.168.2.200</v>
          </cell>
          <cell r="AC35">
            <v>1</v>
          </cell>
          <cell r="AD35" t="str">
            <v>connected</v>
          </cell>
          <cell r="AE35">
            <v>2</v>
          </cell>
          <cell r="AF35" t="str">
            <v>connected</v>
          </cell>
          <cell r="AG35">
            <v>3</v>
          </cell>
          <cell r="AH35" t="str">
            <v>disabled</v>
          </cell>
          <cell r="AI35">
            <v>4</v>
          </cell>
          <cell r="AJ35" t="str">
            <v>connected</v>
          </cell>
          <cell r="AK35">
            <v>5</v>
          </cell>
          <cell r="AL35" t="str">
            <v>connected</v>
          </cell>
          <cell r="AM35">
            <v>6</v>
          </cell>
          <cell r="AN35" t="str">
            <v>connected</v>
          </cell>
          <cell r="AO35">
            <v>7</v>
          </cell>
          <cell r="AP35" t="str">
            <v>disabled</v>
          </cell>
          <cell r="AQ35">
            <v>8</v>
          </cell>
          <cell r="AR35" t="str">
            <v>disabled</v>
          </cell>
          <cell r="AS35">
            <v>9</v>
          </cell>
          <cell r="AT35" t="str">
            <v>disabled</v>
          </cell>
          <cell r="AU35">
            <v>10</v>
          </cell>
          <cell r="AV35" t="str">
            <v>disabled</v>
          </cell>
          <cell r="AW35">
            <v>11</v>
          </cell>
          <cell r="AX35" t="str">
            <v>connected</v>
          </cell>
          <cell r="AY35">
            <v>12</v>
          </cell>
          <cell r="AZ35" t="str">
            <v>disabled</v>
          </cell>
          <cell r="BA35">
            <v>13</v>
          </cell>
          <cell r="BB35" t="str">
            <v>connected</v>
          </cell>
          <cell r="BC35">
            <v>14</v>
          </cell>
          <cell r="BD35" t="str">
            <v>connected</v>
          </cell>
          <cell r="BE35">
            <v>15</v>
          </cell>
          <cell r="BF35" t="str">
            <v>connected</v>
          </cell>
          <cell r="BG35">
            <v>16</v>
          </cell>
          <cell r="BH35" t="str">
            <v>connected</v>
          </cell>
          <cell r="BI35">
            <v>17</v>
          </cell>
          <cell r="BJ35" t="str">
            <v>disabled</v>
          </cell>
          <cell r="BK35">
            <v>18</v>
          </cell>
          <cell r="BL35" t="str">
            <v>disabled</v>
          </cell>
          <cell r="BM35">
            <v>19</v>
          </cell>
          <cell r="BN35" t="str">
            <v>disabled</v>
          </cell>
          <cell r="BO35">
            <v>20</v>
          </cell>
          <cell r="BP35" t="str">
            <v>disabled</v>
          </cell>
          <cell r="BQ35">
            <v>21</v>
          </cell>
          <cell r="BR35" t="str">
            <v>disabled</v>
          </cell>
          <cell r="BS35">
            <v>22</v>
          </cell>
          <cell r="BT35" t="str">
            <v>disabled</v>
          </cell>
          <cell r="BU35">
            <v>23</v>
          </cell>
          <cell r="BV35" t="str">
            <v>disabled</v>
          </cell>
          <cell r="BW35">
            <v>24</v>
          </cell>
          <cell r="BX35" t="str">
            <v>disabled</v>
          </cell>
          <cell r="BY35">
            <v>25</v>
          </cell>
          <cell r="BZ35" t="str">
            <v>disabled</v>
          </cell>
          <cell r="CA35">
            <v>26</v>
          </cell>
          <cell r="CB35" t="str">
            <v>disabled</v>
          </cell>
          <cell r="CC35">
            <v>27</v>
          </cell>
          <cell r="CD35" t="str">
            <v>disabled</v>
          </cell>
          <cell r="CE35">
            <v>28</v>
          </cell>
          <cell r="CF35" t="str">
            <v>disabled</v>
          </cell>
          <cell r="CG35">
            <v>43497</v>
          </cell>
        </row>
        <row r="36">
          <cell r="F36">
            <v>31</v>
          </cell>
          <cell r="G36" t="str">
            <v>IC-SA-NW-0005</v>
          </cell>
          <cell r="H36" t="str">
            <v>네트워크</v>
          </cell>
          <cell r="I36" t="str">
            <v>연료전지</v>
          </cell>
          <cell r="J36" t="str">
            <v>2단계 FAN OUT S/W(SEC)</v>
          </cell>
          <cell r="K36" t="str">
            <v>연료전지운영제어</v>
          </cell>
          <cell r="L36" t="str">
            <v>연료전지 2단계</v>
          </cell>
          <cell r="M36" t="str">
            <v>192.168.3.18</v>
          </cell>
          <cell r="N36" t="str">
            <v>중</v>
          </cell>
          <cell r="O36" t="str">
            <v>Cisco Catalyst  2960</v>
          </cell>
          <cell r="R36" t="str">
            <v>WS-C2960+24TC-L</v>
          </cell>
          <cell r="S36" t="str">
            <v>192.168.3.18</v>
          </cell>
          <cell r="T36" t="str">
            <v>255.255.254.0</v>
          </cell>
          <cell r="U36" t="str">
            <v>192.168.3.254</v>
          </cell>
          <cell r="V36" t="str">
            <v>sec-fanout-sw01</v>
          </cell>
          <cell r="W36" t="str">
            <v>15.2(1)E2</v>
          </cell>
          <cell r="X36" t="str">
            <v>C2960-LANBASEK9-M</v>
          </cell>
          <cell r="Y36" t="str">
            <v>V02</v>
          </cell>
          <cell r="Z36" t="str">
            <v>CMMKV00ARB</v>
          </cell>
          <cell r="AA36" t="str">
            <v>SSH</v>
          </cell>
          <cell r="AB36" t="str">
            <v>192.168.2.200</v>
          </cell>
          <cell r="AC36">
            <v>1</v>
          </cell>
          <cell r="AD36" t="str">
            <v>disabled</v>
          </cell>
          <cell r="AE36">
            <v>2</v>
          </cell>
          <cell r="AF36" t="str">
            <v>connected</v>
          </cell>
          <cell r="AG36">
            <v>3</v>
          </cell>
          <cell r="AH36" t="str">
            <v>disabled</v>
          </cell>
          <cell r="AI36">
            <v>4</v>
          </cell>
          <cell r="AJ36" t="str">
            <v>connected</v>
          </cell>
          <cell r="AK36">
            <v>5</v>
          </cell>
          <cell r="AL36" t="str">
            <v>connected</v>
          </cell>
          <cell r="AM36">
            <v>6</v>
          </cell>
          <cell r="AN36" t="str">
            <v>disabled</v>
          </cell>
          <cell r="AO36">
            <v>7</v>
          </cell>
          <cell r="AP36" t="str">
            <v>disabled</v>
          </cell>
          <cell r="AQ36">
            <v>8</v>
          </cell>
          <cell r="AR36" t="str">
            <v>disabled</v>
          </cell>
          <cell r="AS36">
            <v>9</v>
          </cell>
          <cell r="AT36" t="str">
            <v>disabled</v>
          </cell>
          <cell r="AU36">
            <v>10</v>
          </cell>
          <cell r="AV36" t="str">
            <v>disabled</v>
          </cell>
          <cell r="AW36">
            <v>11</v>
          </cell>
          <cell r="AX36" t="str">
            <v>connected</v>
          </cell>
          <cell r="AY36">
            <v>12</v>
          </cell>
          <cell r="AZ36" t="str">
            <v>disabled</v>
          </cell>
          <cell r="BA36">
            <v>13</v>
          </cell>
          <cell r="BB36" t="str">
            <v>connected</v>
          </cell>
          <cell r="BC36">
            <v>14</v>
          </cell>
          <cell r="BD36" t="str">
            <v>connected</v>
          </cell>
          <cell r="BE36">
            <v>15</v>
          </cell>
          <cell r="BF36" t="str">
            <v>connected</v>
          </cell>
          <cell r="BG36">
            <v>16</v>
          </cell>
          <cell r="BH36" t="str">
            <v>connected</v>
          </cell>
          <cell r="BI36">
            <v>17</v>
          </cell>
          <cell r="BJ36" t="str">
            <v>disabled</v>
          </cell>
          <cell r="BK36">
            <v>18</v>
          </cell>
          <cell r="BL36" t="str">
            <v>disabled</v>
          </cell>
          <cell r="BM36">
            <v>19</v>
          </cell>
          <cell r="BN36" t="str">
            <v>disabled</v>
          </cell>
          <cell r="BO36">
            <v>20</v>
          </cell>
          <cell r="BP36" t="str">
            <v>disabled</v>
          </cell>
          <cell r="BQ36">
            <v>21</v>
          </cell>
          <cell r="BR36" t="str">
            <v>disabled</v>
          </cell>
          <cell r="BS36">
            <v>22</v>
          </cell>
          <cell r="BT36" t="str">
            <v>disabled</v>
          </cell>
          <cell r="BU36">
            <v>23</v>
          </cell>
          <cell r="BV36" t="str">
            <v>disabled</v>
          </cell>
          <cell r="BW36">
            <v>24</v>
          </cell>
          <cell r="BX36" t="str">
            <v>disabled</v>
          </cell>
          <cell r="BY36">
            <v>25</v>
          </cell>
          <cell r="BZ36" t="str">
            <v>disabled</v>
          </cell>
          <cell r="CA36">
            <v>26</v>
          </cell>
          <cell r="CB36" t="str">
            <v>disabled</v>
          </cell>
          <cell r="CC36">
            <v>27</v>
          </cell>
          <cell r="CD36" t="str">
            <v>disabled</v>
          </cell>
          <cell r="CE36">
            <v>28</v>
          </cell>
          <cell r="CF36" t="str">
            <v>disabled</v>
          </cell>
          <cell r="CG36">
            <v>43497</v>
          </cell>
        </row>
        <row r="37">
          <cell r="F37">
            <v>32</v>
          </cell>
          <cell r="G37" t="str">
            <v>IC-SA-NW-0006</v>
          </cell>
          <cell r="H37" t="str">
            <v>네트워크</v>
          </cell>
          <cell r="I37" t="str">
            <v>연료전지</v>
          </cell>
          <cell r="J37" t="str">
            <v>2단계 IP Traffic S/W</v>
          </cell>
          <cell r="K37" t="str">
            <v>연료전지운영제어</v>
          </cell>
          <cell r="L37" t="str">
            <v>연료전지 2단계</v>
          </cell>
          <cell r="M37" t="str">
            <v>192.168.3.20</v>
          </cell>
          <cell r="N37" t="str">
            <v>중</v>
          </cell>
          <cell r="O37" t="str">
            <v>Cisco Catalyst  2960</v>
          </cell>
          <cell r="R37" t="str">
            <v>WS-C2960+24TC-L</v>
          </cell>
          <cell r="S37" t="str">
            <v>192.168.3.20</v>
          </cell>
          <cell r="T37" t="str">
            <v>255.255.254.0</v>
          </cell>
          <cell r="U37" t="str">
            <v>192.168.3.254</v>
          </cell>
          <cell r="V37" t="str">
            <v>ip-traffic-sw02</v>
          </cell>
          <cell r="W37" t="str">
            <v>15.2(1)E2</v>
          </cell>
          <cell r="X37" t="str">
            <v>C2960-LANBASEK9-M</v>
          </cell>
          <cell r="Y37" t="str">
            <v>V02</v>
          </cell>
          <cell r="Z37" t="str">
            <v>CMMKV00ARB</v>
          </cell>
          <cell r="AA37" t="str">
            <v>SSH</v>
          </cell>
          <cell r="AB37" t="str">
            <v>192.168.2.200</v>
          </cell>
          <cell r="AC37">
            <v>1</v>
          </cell>
          <cell r="AD37" t="str">
            <v>connected</v>
          </cell>
          <cell r="AE37">
            <v>2</v>
          </cell>
          <cell r="AF37" t="str">
            <v>disabled</v>
          </cell>
          <cell r="AG37">
            <v>3</v>
          </cell>
          <cell r="AH37" t="str">
            <v>disabled</v>
          </cell>
          <cell r="AI37">
            <v>4</v>
          </cell>
          <cell r="AJ37" t="str">
            <v>disabled</v>
          </cell>
          <cell r="AK37">
            <v>5</v>
          </cell>
          <cell r="AL37" t="str">
            <v>disabled</v>
          </cell>
          <cell r="AM37">
            <v>6</v>
          </cell>
          <cell r="AN37" t="str">
            <v>disabled</v>
          </cell>
          <cell r="AO37">
            <v>7</v>
          </cell>
          <cell r="AP37" t="str">
            <v>disabled</v>
          </cell>
          <cell r="AQ37">
            <v>8</v>
          </cell>
          <cell r="AR37" t="str">
            <v>disabled</v>
          </cell>
          <cell r="AS37">
            <v>9</v>
          </cell>
          <cell r="AT37" t="str">
            <v>disabled</v>
          </cell>
          <cell r="AU37">
            <v>10</v>
          </cell>
          <cell r="AV37" t="str">
            <v>disabled</v>
          </cell>
          <cell r="AW37">
            <v>11</v>
          </cell>
          <cell r="AX37" t="str">
            <v>disabled</v>
          </cell>
          <cell r="AY37">
            <v>12</v>
          </cell>
          <cell r="AZ37" t="str">
            <v>disabled</v>
          </cell>
          <cell r="BA37">
            <v>13</v>
          </cell>
          <cell r="BB37" t="str">
            <v>disabled</v>
          </cell>
          <cell r="BC37">
            <v>14</v>
          </cell>
          <cell r="BD37" t="str">
            <v>disabled</v>
          </cell>
          <cell r="BE37">
            <v>15</v>
          </cell>
          <cell r="BF37" t="str">
            <v>disabled</v>
          </cell>
          <cell r="BG37">
            <v>16</v>
          </cell>
          <cell r="BH37" t="str">
            <v>disabled</v>
          </cell>
          <cell r="BI37">
            <v>17</v>
          </cell>
          <cell r="BJ37" t="str">
            <v>disabled</v>
          </cell>
          <cell r="BK37">
            <v>18</v>
          </cell>
          <cell r="BL37" t="str">
            <v>disabled</v>
          </cell>
          <cell r="BM37">
            <v>19</v>
          </cell>
          <cell r="BN37" t="str">
            <v>disabled</v>
          </cell>
          <cell r="BO37">
            <v>20</v>
          </cell>
          <cell r="BP37" t="str">
            <v>disabled</v>
          </cell>
          <cell r="BQ37">
            <v>21</v>
          </cell>
          <cell r="BR37" t="str">
            <v>connected</v>
          </cell>
          <cell r="BS37">
            <v>22</v>
          </cell>
          <cell r="BT37" t="str">
            <v>disabled</v>
          </cell>
          <cell r="BU37">
            <v>23</v>
          </cell>
          <cell r="BV37" t="str">
            <v>disabled</v>
          </cell>
          <cell r="BW37">
            <v>24</v>
          </cell>
          <cell r="BX37" t="str">
            <v>disabled</v>
          </cell>
          <cell r="BY37">
            <v>25</v>
          </cell>
          <cell r="BZ37" t="str">
            <v>disabled</v>
          </cell>
          <cell r="CA37">
            <v>26</v>
          </cell>
          <cell r="CB37" t="str">
            <v>disabled</v>
          </cell>
          <cell r="CC37">
            <v>27</v>
          </cell>
          <cell r="CD37" t="str">
            <v>disabled</v>
          </cell>
          <cell r="CE37">
            <v>28</v>
          </cell>
          <cell r="CF37" t="str">
            <v>disabled</v>
          </cell>
          <cell r="CG37">
            <v>43497</v>
          </cell>
        </row>
        <row r="38">
          <cell r="F38">
            <v>33</v>
          </cell>
          <cell r="G38" t="str">
            <v>IC-SA-NW-0007</v>
          </cell>
          <cell r="H38" t="str">
            <v>네트워크</v>
          </cell>
          <cell r="I38" t="str">
            <v>연료전지</v>
          </cell>
          <cell r="J38" t="str">
            <v>3단계 FAN OUT S/W(PRI)</v>
          </cell>
          <cell r="K38" t="str">
            <v>연료전지운영제어</v>
          </cell>
          <cell r="L38" t="str">
            <v>연료전지 3단계</v>
          </cell>
          <cell r="M38" t="str">
            <v>192.168.3.33</v>
          </cell>
          <cell r="N38" t="str">
            <v>중</v>
          </cell>
          <cell r="O38" t="str">
            <v>Cisco Catalyst  2960</v>
          </cell>
          <cell r="R38" t="str">
            <v>WS-C2960+24TC-L</v>
          </cell>
          <cell r="S38" t="str">
            <v>192.168.3.33</v>
          </cell>
          <cell r="T38" t="str">
            <v>255.255.254.0</v>
          </cell>
          <cell r="U38" t="str">
            <v>192.168.3.254</v>
          </cell>
          <cell r="V38" t="str">
            <v>pri-fanout-sw02</v>
          </cell>
          <cell r="W38" t="str">
            <v>15.2(1)E2</v>
          </cell>
          <cell r="X38" t="str">
            <v>C2960-LANBASEK9-M</v>
          </cell>
          <cell r="Y38" t="str">
            <v>V02</v>
          </cell>
          <cell r="Z38" t="str">
            <v>CMMKV00ARB</v>
          </cell>
          <cell r="AA38" t="str">
            <v>SSH</v>
          </cell>
          <cell r="AB38" t="str">
            <v>192.168.2.200</v>
          </cell>
          <cell r="AC38">
            <v>1</v>
          </cell>
          <cell r="AD38" t="str">
            <v>disabled</v>
          </cell>
          <cell r="AE38">
            <v>2</v>
          </cell>
          <cell r="AF38" t="str">
            <v>connected</v>
          </cell>
          <cell r="AG38">
            <v>3</v>
          </cell>
          <cell r="AH38" t="str">
            <v>connected</v>
          </cell>
          <cell r="AI38">
            <v>4</v>
          </cell>
          <cell r="AJ38" t="str">
            <v>connected</v>
          </cell>
          <cell r="AK38">
            <v>5</v>
          </cell>
          <cell r="AL38" t="str">
            <v>connected</v>
          </cell>
          <cell r="AM38">
            <v>6</v>
          </cell>
          <cell r="AN38" t="str">
            <v>disabled</v>
          </cell>
          <cell r="AO38">
            <v>7</v>
          </cell>
          <cell r="AP38" t="str">
            <v>connected</v>
          </cell>
          <cell r="AQ38">
            <v>8</v>
          </cell>
          <cell r="AR38" t="str">
            <v>disabled</v>
          </cell>
          <cell r="AS38">
            <v>9</v>
          </cell>
          <cell r="AT38" t="str">
            <v>connected</v>
          </cell>
          <cell r="AU38">
            <v>10</v>
          </cell>
          <cell r="AV38" t="str">
            <v>disabled</v>
          </cell>
          <cell r="AW38">
            <v>11</v>
          </cell>
          <cell r="AX38" t="str">
            <v>connected</v>
          </cell>
          <cell r="AY38">
            <v>12</v>
          </cell>
          <cell r="AZ38" t="str">
            <v>disabled</v>
          </cell>
          <cell r="BA38">
            <v>13</v>
          </cell>
          <cell r="BB38" t="str">
            <v>disabled</v>
          </cell>
          <cell r="BC38">
            <v>14</v>
          </cell>
          <cell r="BD38" t="str">
            <v>disabled</v>
          </cell>
          <cell r="BE38">
            <v>15</v>
          </cell>
          <cell r="BF38" t="str">
            <v>disabled</v>
          </cell>
          <cell r="BG38">
            <v>16</v>
          </cell>
          <cell r="BH38" t="str">
            <v>disabled</v>
          </cell>
          <cell r="BI38">
            <v>17</v>
          </cell>
          <cell r="BJ38" t="str">
            <v>disabled</v>
          </cell>
          <cell r="BK38">
            <v>18</v>
          </cell>
          <cell r="BL38" t="str">
            <v>disabled</v>
          </cell>
          <cell r="BM38">
            <v>19</v>
          </cell>
          <cell r="BN38" t="str">
            <v>disabled</v>
          </cell>
          <cell r="BO38">
            <v>20</v>
          </cell>
          <cell r="BP38" t="str">
            <v>disabled</v>
          </cell>
          <cell r="BQ38">
            <v>21</v>
          </cell>
          <cell r="BR38" t="str">
            <v>disabled</v>
          </cell>
          <cell r="BS38">
            <v>22</v>
          </cell>
          <cell r="BT38" t="str">
            <v>disabled</v>
          </cell>
          <cell r="BU38">
            <v>23</v>
          </cell>
          <cell r="BV38" t="str">
            <v>disabled</v>
          </cell>
          <cell r="BW38">
            <v>24</v>
          </cell>
          <cell r="BX38" t="str">
            <v>disabled</v>
          </cell>
          <cell r="BY38">
            <v>25</v>
          </cell>
          <cell r="BZ38" t="str">
            <v>disabled</v>
          </cell>
          <cell r="CA38">
            <v>26</v>
          </cell>
          <cell r="CB38" t="str">
            <v>disabled</v>
          </cell>
          <cell r="CC38">
            <v>27</v>
          </cell>
          <cell r="CD38" t="str">
            <v>disabled</v>
          </cell>
          <cell r="CE38">
            <v>28</v>
          </cell>
          <cell r="CF38" t="str">
            <v>disabled</v>
          </cell>
          <cell r="CG38">
            <v>43739</v>
          </cell>
        </row>
        <row r="39">
          <cell r="F39">
            <v>34</v>
          </cell>
          <cell r="G39" t="str">
            <v>IC-SA-NW-0008</v>
          </cell>
          <cell r="H39" t="str">
            <v>네트워크</v>
          </cell>
          <cell r="I39" t="str">
            <v>연료전지</v>
          </cell>
          <cell r="J39" t="str">
            <v>3단계 FAN OUT S/W(SEC)</v>
          </cell>
          <cell r="K39" t="str">
            <v>연료전지운영제어</v>
          </cell>
          <cell r="L39" t="str">
            <v>연료전지 3단계</v>
          </cell>
          <cell r="M39" t="str">
            <v>192.168.3.34</v>
          </cell>
          <cell r="N39" t="str">
            <v>중</v>
          </cell>
          <cell r="O39" t="str">
            <v>Cisco Catalyst  2960</v>
          </cell>
          <cell r="R39" t="str">
            <v>WS-C2960+24TC-L</v>
          </cell>
          <cell r="S39" t="str">
            <v>192.168.3.34</v>
          </cell>
          <cell r="T39" t="str">
            <v>255.255.254.0</v>
          </cell>
          <cell r="U39" t="str">
            <v>192.168.3.254</v>
          </cell>
          <cell r="V39" t="str">
            <v>sec-fanout-sw02</v>
          </cell>
          <cell r="W39" t="str">
            <v>15.2(1)E2</v>
          </cell>
          <cell r="X39" t="str">
            <v>C2960-LANBASEK9-M</v>
          </cell>
          <cell r="Y39" t="str">
            <v>V02</v>
          </cell>
          <cell r="Z39" t="str">
            <v>CMMKV00ARB</v>
          </cell>
          <cell r="AA39" t="str">
            <v>SSH</v>
          </cell>
          <cell r="AB39" t="str">
            <v>192.168.2.200</v>
          </cell>
          <cell r="AC39">
            <v>1</v>
          </cell>
          <cell r="AD39" t="str">
            <v>disabled</v>
          </cell>
          <cell r="AE39">
            <v>2</v>
          </cell>
          <cell r="AF39" t="str">
            <v>connected</v>
          </cell>
          <cell r="AG39">
            <v>3</v>
          </cell>
          <cell r="AH39" t="str">
            <v>connected</v>
          </cell>
          <cell r="AI39">
            <v>4</v>
          </cell>
          <cell r="AJ39" t="str">
            <v>connected</v>
          </cell>
          <cell r="AK39">
            <v>5</v>
          </cell>
          <cell r="AL39" t="str">
            <v>connected</v>
          </cell>
          <cell r="AM39">
            <v>6</v>
          </cell>
          <cell r="AN39" t="str">
            <v>connected</v>
          </cell>
          <cell r="AO39">
            <v>7</v>
          </cell>
          <cell r="AP39" t="str">
            <v>connected</v>
          </cell>
          <cell r="AQ39">
            <v>8</v>
          </cell>
          <cell r="AR39" t="str">
            <v>disabled</v>
          </cell>
          <cell r="AS39">
            <v>9</v>
          </cell>
          <cell r="AT39" t="str">
            <v>connected</v>
          </cell>
          <cell r="AU39">
            <v>10</v>
          </cell>
          <cell r="AV39" t="str">
            <v>disabled</v>
          </cell>
          <cell r="AW39">
            <v>11</v>
          </cell>
          <cell r="AX39" t="str">
            <v>connected</v>
          </cell>
          <cell r="AY39">
            <v>12</v>
          </cell>
          <cell r="AZ39" t="str">
            <v>disabled</v>
          </cell>
          <cell r="BA39">
            <v>13</v>
          </cell>
          <cell r="BB39" t="str">
            <v>disabled</v>
          </cell>
          <cell r="BC39">
            <v>14</v>
          </cell>
          <cell r="BD39" t="str">
            <v>disabled</v>
          </cell>
          <cell r="BE39">
            <v>15</v>
          </cell>
          <cell r="BF39" t="str">
            <v>disabled</v>
          </cell>
          <cell r="BG39">
            <v>16</v>
          </cell>
          <cell r="BH39" t="str">
            <v>disabled</v>
          </cell>
          <cell r="BI39">
            <v>17</v>
          </cell>
          <cell r="BJ39" t="str">
            <v>disabled</v>
          </cell>
          <cell r="BK39">
            <v>18</v>
          </cell>
          <cell r="BL39" t="str">
            <v>disabled</v>
          </cell>
          <cell r="BM39">
            <v>19</v>
          </cell>
          <cell r="BN39" t="str">
            <v>disabled</v>
          </cell>
          <cell r="BO39">
            <v>20</v>
          </cell>
          <cell r="BP39" t="str">
            <v>disabled</v>
          </cell>
          <cell r="BQ39">
            <v>21</v>
          </cell>
          <cell r="BR39" t="str">
            <v>disabled</v>
          </cell>
          <cell r="BS39">
            <v>22</v>
          </cell>
          <cell r="BT39" t="str">
            <v>disabled</v>
          </cell>
          <cell r="BU39">
            <v>23</v>
          </cell>
          <cell r="BV39" t="str">
            <v>disabled</v>
          </cell>
          <cell r="BW39">
            <v>24</v>
          </cell>
          <cell r="BX39" t="str">
            <v>disabled</v>
          </cell>
          <cell r="BY39">
            <v>25</v>
          </cell>
          <cell r="BZ39" t="str">
            <v>disabled</v>
          </cell>
          <cell r="CA39">
            <v>26</v>
          </cell>
          <cell r="CB39" t="str">
            <v>disabled</v>
          </cell>
          <cell r="CC39">
            <v>27</v>
          </cell>
          <cell r="CD39" t="str">
            <v>disabled</v>
          </cell>
          <cell r="CE39">
            <v>28</v>
          </cell>
          <cell r="CF39" t="str">
            <v>disabled</v>
          </cell>
          <cell r="CG39">
            <v>43739</v>
          </cell>
        </row>
        <row r="40">
          <cell r="F40">
            <v>35</v>
          </cell>
          <cell r="G40" t="str">
            <v>IC-SA-NW-0009</v>
          </cell>
          <cell r="H40" t="str">
            <v>네트워크</v>
          </cell>
          <cell r="I40" t="str">
            <v>연료전지</v>
          </cell>
          <cell r="J40" t="str">
            <v>4단계 FAN OUT S/W(PRI)</v>
          </cell>
          <cell r="K40" t="str">
            <v>연료전지운영제어</v>
          </cell>
          <cell r="L40" t="str">
            <v>연료전지 4단계</v>
          </cell>
          <cell r="M40" t="str">
            <v>192.168.3.65</v>
          </cell>
          <cell r="N40" t="str">
            <v>중</v>
          </cell>
          <cell r="O40" t="str">
            <v>Cisco Catalyst  2960</v>
          </cell>
          <cell r="R40" t="str">
            <v>WS-C2960+24TC-L</v>
          </cell>
          <cell r="S40" t="str">
            <v>192.168.3.65</v>
          </cell>
          <cell r="T40" t="str">
            <v>255.255.254.0</v>
          </cell>
          <cell r="U40" t="str">
            <v>192.168.3.254</v>
          </cell>
          <cell r="V40" t="str">
            <v>pri-fanout-sw04</v>
          </cell>
          <cell r="W40" t="str">
            <v>15.2(1)E2</v>
          </cell>
          <cell r="X40" t="str">
            <v>C2960-LANBASEK9-M</v>
          </cell>
          <cell r="Y40" t="str">
            <v>V02</v>
          </cell>
          <cell r="Z40" t="str">
            <v>CMMKV00ARB</v>
          </cell>
          <cell r="AA40" t="str">
            <v>SSH</v>
          </cell>
          <cell r="AB40" t="str">
            <v>192.168.2.200</v>
          </cell>
          <cell r="AC40">
            <v>1</v>
          </cell>
          <cell r="AD40" t="str">
            <v>disabled</v>
          </cell>
          <cell r="AE40">
            <v>2</v>
          </cell>
          <cell r="AF40" t="str">
            <v>connected</v>
          </cell>
          <cell r="AG40">
            <v>3</v>
          </cell>
          <cell r="AH40" t="str">
            <v>disabled</v>
          </cell>
          <cell r="AI40">
            <v>4</v>
          </cell>
          <cell r="AJ40" t="str">
            <v>connected</v>
          </cell>
          <cell r="AK40">
            <v>5</v>
          </cell>
          <cell r="AL40" t="str">
            <v>disabled</v>
          </cell>
          <cell r="AM40">
            <v>6</v>
          </cell>
          <cell r="AN40" t="str">
            <v>disabled</v>
          </cell>
          <cell r="AO40">
            <v>7</v>
          </cell>
          <cell r="AP40" t="str">
            <v>disabled</v>
          </cell>
          <cell r="AQ40">
            <v>8</v>
          </cell>
          <cell r="AR40" t="str">
            <v>disabled</v>
          </cell>
          <cell r="AS40">
            <v>9</v>
          </cell>
          <cell r="AT40" t="str">
            <v>connected</v>
          </cell>
          <cell r="AU40">
            <v>10</v>
          </cell>
          <cell r="AV40" t="str">
            <v>disabled</v>
          </cell>
          <cell r="AW40">
            <v>11</v>
          </cell>
          <cell r="AX40" t="str">
            <v>disabled</v>
          </cell>
          <cell r="AY40">
            <v>12</v>
          </cell>
          <cell r="AZ40" t="str">
            <v>disabled</v>
          </cell>
          <cell r="BA40">
            <v>13</v>
          </cell>
          <cell r="BB40" t="str">
            <v>connected</v>
          </cell>
          <cell r="BC40">
            <v>14</v>
          </cell>
          <cell r="BD40" t="str">
            <v>connected</v>
          </cell>
          <cell r="BE40">
            <v>15</v>
          </cell>
          <cell r="BF40" t="str">
            <v>disabled</v>
          </cell>
          <cell r="BG40">
            <v>16</v>
          </cell>
          <cell r="BH40" t="str">
            <v>disabled</v>
          </cell>
          <cell r="BI40">
            <v>17</v>
          </cell>
          <cell r="BJ40" t="str">
            <v>disabled</v>
          </cell>
          <cell r="BK40">
            <v>18</v>
          </cell>
          <cell r="BL40" t="str">
            <v>disabled</v>
          </cell>
          <cell r="BM40">
            <v>19</v>
          </cell>
          <cell r="BN40" t="str">
            <v>disabled</v>
          </cell>
          <cell r="BO40">
            <v>20</v>
          </cell>
          <cell r="BP40" t="str">
            <v>disabled</v>
          </cell>
          <cell r="BQ40">
            <v>21</v>
          </cell>
          <cell r="BR40" t="str">
            <v>disabled</v>
          </cell>
          <cell r="BS40">
            <v>22</v>
          </cell>
          <cell r="BT40" t="str">
            <v>disabled</v>
          </cell>
          <cell r="BU40">
            <v>23</v>
          </cell>
          <cell r="BV40" t="str">
            <v>disabled</v>
          </cell>
          <cell r="BW40">
            <v>24</v>
          </cell>
          <cell r="BX40" t="str">
            <v>disabled</v>
          </cell>
          <cell r="BY40">
            <v>25</v>
          </cell>
          <cell r="BZ40" t="str">
            <v>disabled</v>
          </cell>
          <cell r="CA40">
            <v>26</v>
          </cell>
          <cell r="CB40" t="str">
            <v>disabled</v>
          </cell>
          <cell r="CC40">
            <v>27</v>
          </cell>
          <cell r="CD40" t="str">
            <v>disabled</v>
          </cell>
          <cell r="CE40">
            <v>28</v>
          </cell>
          <cell r="CF40" t="str">
            <v>disabled</v>
          </cell>
          <cell r="CG40">
            <v>44228</v>
          </cell>
        </row>
        <row r="41">
          <cell r="F41">
            <v>36</v>
          </cell>
          <cell r="G41" t="str">
            <v>IC-SA-NW-0010</v>
          </cell>
          <cell r="H41" t="str">
            <v>네트워크</v>
          </cell>
          <cell r="I41" t="str">
            <v>연료전지</v>
          </cell>
          <cell r="J41" t="str">
            <v>4단계 FAN OUT S/W(SEC)</v>
          </cell>
          <cell r="K41" t="str">
            <v>연료전지운영제어</v>
          </cell>
          <cell r="L41" t="str">
            <v>연료전지 4단계</v>
          </cell>
          <cell r="M41" t="str">
            <v>192.168.3.66</v>
          </cell>
          <cell r="N41" t="str">
            <v>중</v>
          </cell>
          <cell r="O41" t="str">
            <v>Cisco Catalyst  2960</v>
          </cell>
          <cell r="R41" t="str">
            <v>WS-C2960+24TC-L</v>
          </cell>
          <cell r="S41" t="str">
            <v>192.168.3.66</v>
          </cell>
          <cell r="T41" t="str">
            <v>255.255.254.0</v>
          </cell>
          <cell r="U41" t="str">
            <v>192.168.3.254</v>
          </cell>
          <cell r="V41" t="str">
            <v>sec-fanout-sw04</v>
          </cell>
          <cell r="W41" t="str">
            <v>15.2(1)E2</v>
          </cell>
          <cell r="X41" t="str">
            <v>C2960-LANBASEK9-M</v>
          </cell>
          <cell r="Y41" t="str">
            <v>V02</v>
          </cell>
          <cell r="Z41" t="str">
            <v>CMMKV00ARB</v>
          </cell>
          <cell r="AA41" t="str">
            <v>SSH</v>
          </cell>
          <cell r="AB41" t="str">
            <v>192.168.2.200</v>
          </cell>
          <cell r="AC41">
            <v>1</v>
          </cell>
          <cell r="AD41" t="str">
            <v>disabled</v>
          </cell>
          <cell r="AE41">
            <v>2</v>
          </cell>
          <cell r="AF41" t="str">
            <v>connected</v>
          </cell>
          <cell r="AG41">
            <v>3</v>
          </cell>
          <cell r="AH41" t="str">
            <v>disabled</v>
          </cell>
          <cell r="AI41">
            <v>4</v>
          </cell>
          <cell r="AJ41" t="str">
            <v>connected</v>
          </cell>
          <cell r="AK41">
            <v>5</v>
          </cell>
          <cell r="AL41" t="str">
            <v>disabled</v>
          </cell>
          <cell r="AM41">
            <v>6</v>
          </cell>
          <cell r="AN41" t="str">
            <v>disabled</v>
          </cell>
          <cell r="AO41">
            <v>7</v>
          </cell>
          <cell r="AP41" t="str">
            <v>disabled</v>
          </cell>
          <cell r="AQ41">
            <v>8</v>
          </cell>
          <cell r="AR41" t="str">
            <v>disabled</v>
          </cell>
          <cell r="AS41">
            <v>9</v>
          </cell>
          <cell r="AT41" t="str">
            <v>connected</v>
          </cell>
          <cell r="AU41">
            <v>10</v>
          </cell>
          <cell r="AV41" t="str">
            <v>disabled</v>
          </cell>
          <cell r="AW41">
            <v>11</v>
          </cell>
          <cell r="AX41" t="str">
            <v>disabled</v>
          </cell>
          <cell r="AY41">
            <v>12</v>
          </cell>
          <cell r="AZ41" t="str">
            <v>disabled</v>
          </cell>
          <cell r="BA41">
            <v>13</v>
          </cell>
          <cell r="BB41" t="str">
            <v>connected</v>
          </cell>
          <cell r="BC41">
            <v>14</v>
          </cell>
          <cell r="BD41" t="str">
            <v>connected</v>
          </cell>
          <cell r="BE41">
            <v>15</v>
          </cell>
          <cell r="BF41" t="str">
            <v>disabled</v>
          </cell>
          <cell r="BG41">
            <v>16</v>
          </cell>
          <cell r="BH41" t="str">
            <v>disabled</v>
          </cell>
          <cell r="BI41">
            <v>17</v>
          </cell>
          <cell r="BJ41" t="str">
            <v>disabled</v>
          </cell>
          <cell r="BK41">
            <v>18</v>
          </cell>
          <cell r="BL41" t="str">
            <v>disabled</v>
          </cell>
          <cell r="BM41">
            <v>19</v>
          </cell>
          <cell r="BN41" t="str">
            <v>disabled</v>
          </cell>
          <cell r="BO41">
            <v>20</v>
          </cell>
          <cell r="BP41" t="str">
            <v>disabled</v>
          </cell>
          <cell r="BQ41">
            <v>21</v>
          </cell>
          <cell r="BR41" t="str">
            <v>disabled</v>
          </cell>
          <cell r="BS41">
            <v>22</v>
          </cell>
          <cell r="BT41" t="str">
            <v>disabled</v>
          </cell>
          <cell r="BU41">
            <v>23</v>
          </cell>
          <cell r="BV41" t="str">
            <v>disabled</v>
          </cell>
          <cell r="BW41">
            <v>24</v>
          </cell>
          <cell r="BX41" t="str">
            <v>disabled</v>
          </cell>
          <cell r="BY41">
            <v>25</v>
          </cell>
          <cell r="BZ41" t="str">
            <v>disabled</v>
          </cell>
          <cell r="CA41">
            <v>26</v>
          </cell>
          <cell r="CB41" t="str">
            <v>disabled</v>
          </cell>
          <cell r="CC41">
            <v>27</v>
          </cell>
          <cell r="CD41" t="str">
            <v>disabled</v>
          </cell>
          <cell r="CE41">
            <v>28</v>
          </cell>
          <cell r="CF41" t="str">
            <v>disabled</v>
          </cell>
          <cell r="CG41">
            <v>44228</v>
          </cell>
        </row>
        <row r="42">
          <cell r="F42">
            <v>37</v>
          </cell>
          <cell r="G42" t="str">
            <v>IC-SA-NW-0011</v>
          </cell>
          <cell r="H42" t="str">
            <v>네트워크</v>
          </cell>
          <cell r="I42" t="str">
            <v>연료전지</v>
          </cell>
          <cell r="J42" t="str">
            <v>통합제어실 FAN OUT S/W(PRI)</v>
          </cell>
          <cell r="K42" t="str">
            <v>연료전지운영제어</v>
          </cell>
          <cell r="L42" t="str">
            <v>연료전지 통합제어실</v>
          </cell>
          <cell r="M42" t="str">
            <v>192.168.3.49</v>
          </cell>
          <cell r="N42" t="str">
            <v>중</v>
          </cell>
          <cell r="O42" t="str">
            <v>Cisco Catalyst  2960</v>
          </cell>
          <cell r="R42" t="str">
            <v>WS-C2960+24TC-L</v>
          </cell>
          <cell r="S42" t="str">
            <v>192.168.3.49</v>
          </cell>
          <cell r="T42" t="str">
            <v>255.255.254.0</v>
          </cell>
          <cell r="U42" t="str">
            <v>192.168.3.254</v>
          </cell>
          <cell r="V42" t="str">
            <v>pri-fanout-sw03</v>
          </cell>
          <cell r="W42" t="str">
            <v>15.2(1)E2</v>
          </cell>
          <cell r="X42" t="str">
            <v>C2960-LANBASEK9-M</v>
          </cell>
          <cell r="Y42" t="str">
            <v>V02</v>
          </cell>
          <cell r="Z42" t="str">
            <v>CMMKV00ARB</v>
          </cell>
          <cell r="AA42" t="str">
            <v>SSH</v>
          </cell>
          <cell r="AB42" t="str">
            <v>192.168.2.200</v>
          </cell>
          <cell r="AC42">
            <v>1</v>
          </cell>
          <cell r="AD42" t="str">
            <v>disabled</v>
          </cell>
          <cell r="AE42">
            <v>2</v>
          </cell>
          <cell r="AF42" t="str">
            <v>connected</v>
          </cell>
          <cell r="AG42">
            <v>3</v>
          </cell>
          <cell r="AH42" t="str">
            <v>connected</v>
          </cell>
          <cell r="AI42">
            <v>4</v>
          </cell>
          <cell r="AJ42" t="str">
            <v>connected</v>
          </cell>
          <cell r="AK42">
            <v>5</v>
          </cell>
          <cell r="AL42" t="str">
            <v>connected</v>
          </cell>
          <cell r="AM42">
            <v>6</v>
          </cell>
          <cell r="AN42" t="str">
            <v>disabled</v>
          </cell>
          <cell r="AO42">
            <v>7</v>
          </cell>
          <cell r="AP42" t="str">
            <v>connected</v>
          </cell>
          <cell r="AQ42">
            <v>8</v>
          </cell>
          <cell r="AR42" t="str">
            <v>connected</v>
          </cell>
          <cell r="AS42">
            <v>9</v>
          </cell>
          <cell r="AT42" t="str">
            <v>connected</v>
          </cell>
          <cell r="AU42">
            <v>10</v>
          </cell>
          <cell r="AV42" t="str">
            <v>disabled</v>
          </cell>
          <cell r="AW42">
            <v>11</v>
          </cell>
          <cell r="AX42" t="str">
            <v>connected</v>
          </cell>
          <cell r="AY42">
            <v>12</v>
          </cell>
          <cell r="AZ42" t="str">
            <v>disabled</v>
          </cell>
          <cell r="BA42">
            <v>13</v>
          </cell>
          <cell r="BB42" t="str">
            <v>disabled</v>
          </cell>
          <cell r="BC42">
            <v>14</v>
          </cell>
          <cell r="BD42" t="str">
            <v>disabled</v>
          </cell>
          <cell r="BE42">
            <v>15</v>
          </cell>
          <cell r="BF42" t="str">
            <v>disabled</v>
          </cell>
          <cell r="BG42">
            <v>16</v>
          </cell>
          <cell r="BH42" t="str">
            <v>disabled</v>
          </cell>
          <cell r="BI42">
            <v>17</v>
          </cell>
          <cell r="BJ42" t="str">
            <v>disabled</v>
          </cell>
          <cell r="BK42">
            <v>18</v>
          </cell>
          <cell r="BL42" t="str">
            <v>disabled</v>
          </cell>
          <cell r="BM42">
            <v>19</v>
          </cell>
          <cell r="BN42" t="str">
            <v>disabled</v>
          </cell>
          <cell r="BO42">
            <v>20</v>
          </cell>
          <cell r="BP42" t="str">
            <v>disabled</v>
          </cell>
          <cell r="BQ42">
            <v>21</v>
          </cell>
          <cell r="BR42" t="str">
            <v>disabled</v>
          </cell>
          <cell r="BS42">
            <v>22</v>
          </cell>
          <cell r="BT42" t="str">
            <v>disabled</v>
          </cell>
          <cell r="BU42">
            <v>23</v>
          </cell>
          <cell r="BV42" t="str">
            <v>disabled</v>
          </cell>
          <cell r="BW42">
            <v>24</v>
          </cell>
          <cell r="BX42" t="str">
            <v>disabled</v>
          </cell>
          <cell r="BY42">
            <v>25</v>
          </cell>
          <cell r="BZ42" t="str">
            <v>disabled</v>
          </cell>
          <cell r="CA42">
            <v>26</v>
          </cell>
          <cell r="CB42" t="str">
            <v>disabled</v>
          </cell>
          <cell r="CC42">
            <v>27</v>
          </cell>
          <cell r="CD42" t="str">
            <v>disabled</v>
          </cell>
          <cell r="CE42">
            <v>28</v>
          </cell>
          <cell r="CF42" t="str">
            <v>disabled</v>
          </cell>
          <cell r="CG42">
            <v>42887</v>
          </cell>
        </row>
        <row r="43">
          <cell r="F43">
            <v>38</v>
          </cell>
          <cell r="G43" t="str">
            <v>IC-SA-NW-0012</v>
          </cell>
          <cell r="H43" t="str">
            <v>네트워크</v>
          </cell>
          <cell r="I43" t="str">
            <v>연료전지</v>
          </cell>
          <cell r="J43" t="str">
            <v>통합제어실 FAN OUT S/W(SEC)</v>
          </cell>
          <cell r="K43" t="str">
            <v>연료전지운영제어</v>
          </cell>
          <cell r="L43" t="str">
            <v>연료전지 통합제어실</v>
          </cell>
          <cell r="M43" t="str">
            <v>192.168.3.50</v>
          </cell>
          <cell r="N43" t="str">
            <v>중</v>
          </cell>
          <cell r="O43" t="str">
            <v>Cisco Catalyst  2960</v>
          </cell>
          <cell r="R43" t="str">
            <v>WS-C2960+24TC-L</v>
          </cell>
          <cell r="S43" t="str">
            <v>192.168.3.50</v>
          </cell>
          <cell r="T43" t="str">
            <v>255.255.254.0</v>
          </cell>
          <cell r="U43" t="str">
            <v>192.168.3.254</v>
          </cell>
          <cell r="V43" t="str">
            <v>sec-fanout-sw03</v>
          </cell>
          <cell r="W43" t="str">
            <v>15.2(1)E2</v>
          </cell>
          <cell r="X43" t="str">
            <v>C2960-LANBASEK9-M</v>
          </cell>
          <cell r="Y43" t="str">
            <v>V09</v>
          </cell>
          <cell r="Z43" t="str">
            <v>COMCX00ARA</v>
          </cell>
          <cell r="AA43" t="str">
            <v>SSH</v>
          </cell>
          <cell r="AB43" t="str">
            <v>192.168.2.200</v>
          </cell>
          <cell r="AC43">
            <v>1</v>
          </cell>
          <cell r="AD43" t="str">
            <v>disabled</v>
          </cell>
          <cell r="AE43">
            <v>2</v>
          </cell>
          <cell r="AF43" t="str">
            <v>connected</v>
          </cell>
          <cell r="AG43">
            <v>3</v>
          </cell>
          <cell r="AH43" t="str">
            <v>connected</v>
          </cell>
          <cell r="AI43">
            <v>4</v>
          </cell>
          <cell r="AJ43" t="str">
            <v>connected</v>
          </cell>
          <cell r="AK43">
            <v>5</v>
          </cell>
          <cell r="AL43" t="str">
            <v>connected</v>
          </cell>
          <cell r="AM43">
            <v>6</v>
          </cell>
          <cell r="AN43" t="str">
            <v>disabled</v>
          </cell>
          <cell r="AO43">
            <v>7</v>
          </cell>
          <cell r="AP43" t="str">
            <v>connected</v>
          </cell>
          <cell r="AQ43">
            <v>8</v>
          </cell>
          <cell r="AR43" t="str">
            <v>connected</v>
          </cell>
          <cell r="AS43">
            <v>9</v>
          </cell>
          <cell r="AT43" t="str">
            <v>connected</v>
          </cell>
          <cell r="AU43">
            <v>10</v>
          </cell>
          <cell r="AV43" t="str">
            <v>disabled</v>
          </cell>
          <cell r="AW43">
            <v>11</v>
          </cell>
          <cell r="AX43" t="str">
            <v>connected</v>
          </cell>
          <cell r="AY43">
            <v>12</v>
          </cell>
          <cell r="AZ43" t="str">
            <v>disabled</v>
          </cell>
          <cell r="BA43">
            <v>13</v>
          </cell>
          <cell r="BB43" t="str">
            <v>disabled</v>
          </cell>
          <cell r="BC43">
            <v>14</v>
          </cell>
          <cell r="BD43" t="str">
            <v>disabled</v>
          </cell>
          <cell r="BE43">
            <v>15</v>
          </cell>
          <cell r="BF43" t="str">
            <v>disabled</v>
          </cell>
          <cell r="BG43">
            <v>16</v>
          </cell>
          <cell r="BH43" t="str">
            <v>disabled</v>
          </cell>
          <cell r="BI43">
            <v>17</v>
          </cell>
          <cell r="BJ43" t="str">
            <v>disabled</v>
          </cell>
          <cell r="BK43">
            <v>18</v>
          </cell>
          <cell r="BL43" t="str">
            <v>disabled</v>
          </cell>
          <cell r="BM43">
            <v>19</v>
          </cell>
          <cell r="BN43" t="str">
            <v>disabled</v>
          </cell>
          <cell r="BO43">
            <v>20</v>
          </cell>
          <cell r="BP43" t="str">
            <v>disabled</v>
          </cell>
          <cell r="BQ43">
            <v>21</v>
          </cell>
          <cell r="BR43" t="str">
            <v>disabled</v>
          </cell>
          <cell r="BS43">
            <v>22</v>
          </cell>
          <cell r="BT43" t="str">
            <v>disabled</v>
          </cell>
          <cell r="BU43">
            <v>23</v>
          </cell>
          <cell r="BV43" t="str">
            <v>disabled</v>
          </cell>
          <cell r="BW43">
            <v>24</v>
          </cell>
          <cell r="BX43" t="str">
            <v>disabled</v>
          </cell>
          <cell r="BY43">
            <v>25</v>
          </cell>
          <cell r="BZ43" t="str">
            <v>disabled</v>
          </cell>
          <cell r="CA43">
            <v>26</v>
          </cell>
          <cell r="CB43" t="str">
            <v>disabled</v>
          </cell>
          <cell r="CC43">
            <v>27</v>
          </cell>
          <cell r="CD43" t="str">
            <v>disabled</v>
          </cell>
          <cell r="CE43">
            <v>28</v>
          </cell>
          <cell r="CF43" t="str">
            <v>disabled</v>
          </cell>
          <cell r="CG43">
            <v>42887</v>
          </cell>
        </row>
        <row r="44">
          <cell r="F44">
            <v>39</v>
          </cell>
          <cell r="G44" t="str">
            <v>IC-SA-NW-0016</v>
          </cell>
          <cell r="H44" t="str">
            <v>네트워크</v>
          </cell>
          <cell r="I44" t="str">
            <v>PWCS</v>
          </cell>
          <cell r="J44" t="str">
            <v>방화벽</v>
          </cell>
          <cell r="K44" t="str">
            <v>PWCS</v>
          </cell>
          <cell r="L44" t="str">
            <v>연료전지 1단계</v>
          </cell>
          <cell r="M44" t="str">
            <v>192.168.124.9</v>
          </cell>
          <cell r="N44" t="str">
            <v>하</v>
          </cell>
          <cell r="O44" t="str">
            <v>Cisco ASA 5516-X</v>
          </cell>
          <cell r="R44" t="str">
            <v>ASA 5516-X with FirePOWER sevices</v>
          </cell>
          <cell r="S44" t="str">
            <v>192.168.124.9</v>
          </cell>
          <cell r="T44" t="str">
            <v>255.255.254.0</v>
          </cell>
          <cell r="V44" t="str">
            <v>SIC-FC-PWCS-FW</v>
          </cell>
          <cell r="W44" t="str">
            <v>9.8(2)</v>
          </cell>
          <cell r="X44" t="str">
            <v>asa982-lfbff-k8.SPA</v>
          </cell>
          <cell r="Y44" t="str">
            <v>A</v>
          </cell>
          <cell r="AB44" t="str">
            <v>192.168.2.200</v>
          </cell>
          <cell r="AC44">
            <v>1</v>
          </cell>
          <cell r="AD44" t="str">
            <v>connected</v>
          </cell>
          <cell r="AE44">
            <v>2</v>
          </cell>
          <cell r="AF44" t="str">
            <v>connected</v>
          </cell>
          <cell r="AG44">
            <v>3</v>
          </cell>
          <cell r="AH44" t="str">
            <v>connected</v>
          </cell>
          <cell r="AI44">
            <v>4</v>
          </cell>
          <cell r="AJ44" t="str">
            <v>disabled</v>
          </cell>
          <cell r="AK44">
            <v>5</v>
          </cell>
          <cell r="AL44" t="str">
            <v>disabled</v>
          </cell>
          <cell r="AM44">
            <v>6</v>
          </cell>
          <cell r="AN44" t="str">
            <v>disabled</v>
          </cell>
          <cell r="AO44">
            <v>7</v>
          </cell>
          <cell r="AP44" t="str">
            <v>disabled</v>
          </cell>
          <cell r="AQ44">
            <v>8</v>
          </cell>
          <cell r="AR44" t="str">
            <v>disabled</v>
          </cell>
          <cell r="AS44">
            <v>9</v>
          </cell>
          <cell r="AT44" t="str">
            <v>disabled</v>
          </cell>
          <cell r="AU44">
            <v>10</v>
          </cell>
          <cell r="AV44" t="str">
            <v>connected</v>
          </cell>
          <cell r="AW44">
            <v>11</v>
          </cell>
          <cell r="AX44" t="str">
            <v>disabled</v>
          </cell>
          <cell r="AY44">
            <v>12</v>
          </cell>
          <cell r="AZ44" t="str">
            <v>connected</v>
          </cell>
          <cell r="BA44">
            <v>13</v>
          </cell>
          <cell r="BB44" t="str">
            <v>connected</v>
          </cell>
          <cell r="BC44">
            <v>14</v>
          </cell>
          <cell r="BD44" t="str">
            <v>connected</v>
          </cell>
          <cell r="BE44">
            <v>15</v>
          </cell>
          <cell r="BF44" t="str">
            <v>disabled</v>
          </cell>
          <cell r="CG44">
            <v>44805</v>
          </cell>
        </row>
        <row r="45">
          <cell r="F45">
            <v>40</v>
          </cell>
          <cell r="G45" t="str">
            <v>IC-SA-NW-0013</v>
          </cell>
          <cell r="H45" t="str">
            <v>네트워크</v>
          </cell>
          <cell r="I45" t="str">
            <v>PWCS</v>
          </cell>
          <cell r="J45" t="str">
            <v>PWCS</v>
          </cell>
          <cell r="K45" t="str">
            <v>PWCS</v>
          </cell>
          <cell r="L45" t="str">
            <v>연료전지 1단계</v>
          </cell>
          <cell r="M45" t="str">
            <v>192.168.123.1</v>
          </cell>
          <cell r="N45" t="str">
            <v>하</v>
          </cell>
          <cell r="O45" t="str">
            <v>Cisco Catalyst  2960</v>
          </cell>
          <cell r="R45" t="str">
            <v>WS-C2960+24TC-L</v>
          </cell>
          <cell r="S45" t="str">
            <v>192.168.123.1</v>
          </cell>
          <cell r="T45" t="str">
            <v>255.255.255.0</v>
          </cell>
          <cell r="U45" t="str">
            <v>192.168.123.9</v>
          </cell>
          <cell r="V45" t="str">
            <v>SIC-FC-PWCS-SW</v>
          </cell>
          <cell r="W45" t="str">
            <v>15.2(2)E2</v>
          </cell>
          <cell r="X45" t="str">
            <v>C2960-LANBASEK9-M</v>
          </cell>
          <cell r="Y45" t="str">
            <v>V02</v>
          </cell>
          <cell r="Z45" t="str">
            <v>COMCX00ARA</v>
          </cell>
          <cell r="AA45" t="str">
            <v>SSH</v>
          </cell>
          <cell r="AB45" t="str">
            <v>192.168.2.200</v>
          </cell>
          <cell r="AC45">
            <v>1</v>
          </cell>
          <cell r="AD45" t="str">
            <v>connected</v>
          </cell>
          <cell r="AE45">
            <v>2</v>
          </cell>
          <cell r="AF45" t="str">
            <v>connected</v>
          </cell>
          <cell r="AG45">
            <v>3</v>
          </cell>
          <cell r="AH45" t="str">
            <v>disabled</v>
          </cell>
          <cell r="AI45">
            <v>4</v>
          </cell>
          <cell r="AJ45" t="str">
            <v>connected</v>
          </cell>
          <cell r="AK45">
            <v>5</v>
          </cell>
          <cell r="AL45" t="str">
            <v>disabled</v>
          </cell>
          <cell r="AM45">
            <v>6</v>
          </cell>
          <cell r="AN45" t="str">
            <v>disabled</v>
          </cell>
          <cell r="AO45">
            <v>7</v>
          </cell>
          <cell r="AP45" t="str">
            <v>connected</v>
          </cell>
          <cell r="AQ45">
            <v>8</v>
          </cell>
          <cell r="AR45" t="str">
            <v>connected</v>
          </cell>
          <cell r="AS45">
            <v>9</v>
          </cell>
          <cell r="AT45" t="str">
            <v>connected</v>
          </cell>
          <cell r="AU45">
            <v>10</v>
          </cell>
          <cell r="AV45" t="str">
            <v>connected</v>
          </cell>
          <cell r="AW45">
            <v>11</v>
          </cell>
          <cell r="AX45" t="str">
            <v>disabled</v>
          </cell>
          <cell r="AY45">
            <v>12</v>
          </cell>
          <cell r="AZ45" t="str">
            <v>disabled</v>
          </cell>
          <cell r="BA45">
            <v>13</v>
          </cell>
          <cell r="BB45" t="str">
            <v>disabled</v>
          </cell>
          <cell r="BC45">
            <v>14</v>
          </cell>
          <cell r="BD45" t="str">
            <v>disabled</v>
          </cell>
          <cell r="BE45">
            <v>15</v>
          </cell>
          <cell r="BF45" t="str">
            <v>disabled</v>
          </cell>
          <cell r="BG45">
            <v>16</v>
          </cell>
          <cell r="BH45" t="str">
            <v>disabled</v>
          </cell>
          <cell r="BI45">
            <v>17</v>
          </cell>
          <cell r="BJ45" t="str">
            <v>disabled</v>
          </cell>
          <cell r="BK45">
            <v>18</v>
          </cell>
          <cell r="BL45" t="str">
            <v>disabled</v>
          </cell>
          <cell r="BM45">
            <v>19</v>
          </cell>
          <cell r="BN45" t="str">
            <v>disabled</v>
          </cell>
          <cell r="BO45">
            <v>20</v>
          </cell>
          <cell r="BP45" t="str">
            <v>disabled</v>
          </cell>
          <cell r="BQ45">
            <v>21</v>
          </cell>
          <cell r="BR45" t="str">
            <v>disabled</v>
          </cell>
          <cell r="BS45">
            <v>22</v>
          </cell>
          <cell r="BT45" t="str">
            <v>disabled</v>
          </cell>
          <cell r="BU45">
            <v>23</v>
          </cell>
          <cell r="BV45" t="str">
            <v>disabled</v>
          </cell>
          <cell r="BW45">
            <v>24</v>
          </cell>
          <cell r="BX45" t="str">
            <v>disabled</v>
          </cell>
          <cell r="BY45">
            <v>25</v>
          </cell>
          <cell r="BZ45" t="str">
            <v>disabled</v>
          </cell>
          <cell r="CA45">
            <v>26</v>
          </cell>
          <cell r="CB45" t="str">
            <v>disabled</v>
          </cell>
          <cell r="CC45">
            <v>27</v>
          </cell>
          <cell r="CD45" t="str">
            <v>disabled</v>
          </cell>
          <cell r="CE45">
            <v>28</v>
          </cell>
          <cell r="CF45" t="str">
            <v>disabled</v>
          </cell>
          <cell r="CG45">
            <v>44805</v>
          </cell>
        </row>
        <row r="46">
          <cell r="F46">
            <v>41</v>
          </cell>
          <cell r="G46" t="str">
            <v>IC-SA-NW-0014</v>
          </cell>
          <cell r="H46" t="str">
            <v>네트워크</v>
          </cell>
          <cell r="I46" t="str">
            <v>연료전지</v>
          </cell>
          <cell r="J46" t="str">
            <v>5단계 FAN OUT S/W(PRI)</v>
          </cell>
          <cell r="K46" t="str">
            <v>연료전지운영제어</v>
          </cell>
          <cell r="L46" t="str">
            <v>연료전지 5단계</v>
          </cell>
          <cell r="M46" t="str">
            <v>192.168.3.81</v>
          </cell>
          <cell r="N46" t="str">
            <v>중</v>
          </cell>
          <cell r="O46" t="str">
            <v>Cisco Catalyst  2960</v>
          </cell>
          <cell r="R46" t="str">
            <v>WS-C2960+24TC-L</v>
          </cell>
          <cell r="S46" t="str">
            <v>192.168.3.81</v>
          </cell>
          <cell r="T46" t="str">
            <v>255.255.254.0</v>
          </cell>
          <cell r="U46" t="str">
            <v>192.168.123.9</v>
          </cell>
          <cell r="V46" t="str">
            <v>pri-fanout-sw05</v>
          </cell>
          <cell r="W46" t="str">
            <v>15.2(1)E2</v>
          </cell>
          <cell r="X46" t="str">
            <v>C2960-LANBASEK9-M</v>
          </cell>
          <cell r="Y46" t="str">
            <v>V02</v>
          </cell>
          <cell r="Z46" t="str">
            <v>CMMKV00ARB</v>
          </cell>
          <cell r="AA46" t="str">
            <v>SSH</v>
          </cell>
          <cell r="AB46" t="str">
            <v>192.168.2.200</v>
          </cell>
          <cell r="AC46">
            <v>1</v>
          </cell>
          <cell r="AD46" t="str">
            <v>connected</v>
          </cell>
          <cell r="AE46">
            <v>2</v>
          </cell>
          <cell r="AF46" t="str">
            <v>connected</v>
          </cell>
          <cell r="AG46">
            <v>3</v>
          </cell>
          <cell r="AH46" t="str">
            <v>disabled</v>
          </cell>
          <cell r="AI46">
            <v>4</v>
          </cell>
          <cell r="AJ46" t="str">
            <v>disabled</v>
          </cell>
          <cell r="AK46">
            <v>5</v>
          </cell>
          <cell r="AL46" t="str">
            <v>disabled</v>
          </cell>
          <cell r="AM46">
            <v>6</v>
          </cell>
          <cell r="AN46" t="str">
            <v>disabled</v>
          </cell>
          <cell r="AO46">
            <v>7</v>
          </cell>
          <cell r="AP46" t="str">
            <v>disabled</v>
          </cell>
          <cell r="AQ46">
            <v>8</v>
          </cell>
          <cell r="AR46" t="str">
            <v>disabled</v>
          </cell>
          <cell r="AS46">
            <v>9</v>
          </cell>
          <cell r="AT46" t="str">
            <v>connected</v>
          </cell>
          <cell r="AU46">
            <v>10</v>
          </cell>
          <cell r="AV46" t="str">
            <v>disabled</v>
          </cell>
          <cell r="AW46">
            <v>11</v>
          </cell>
          <cell r="AX46" t="str">
            <v>disabled</v>
          </cell>
          <cell r="AY46">
            <v>12</v>
          </cell>
          <cell r="AZ46" t="str">
            <v>disabled</v>
          </cell>
          <cell r="BA46">
            <v>13</v>
          </cell>
          <cell r="BB46" t="str">
            <v>connected</v>
          </cell>
          <cell r="BC46">
            <v>14</v>
          </cell>
          <cell r="BD46" t="str">
            <v>connected</v>
          </cell>
          <cell r="BE46">
            <v>15</v>
          </cell>
          <cell r="BF46" t="str">
            <v>disabled</v>
          </cell>
          <cell r="BG46">
            <v>16</v>
          </cell>
          <cell r="BH46" t="str">
            <v>disabled</v>
          </cell>
          <cell r="BI46">
            <v>17</v>
          </cell>
          <cell r="BJ46" t="str">
            <v>disabled</v>
          </cell>
          <cell r="BK46">
            <v>18</v>
          </cell>
          <cell r="BL46" t="str">
            <v>disabled</v>
          </cell>
          <cell r="BM46">
            <v>19</v>
          </cell>
          <cell r="BN46" t="str">
            <v>disabled</v>
          </cell>
          <cell r="BO46">
            <v>20</v>
          </cell>
          <cell r="BP46" t="str">
            <v>disabled</v>
          </cell>
          <cell r="BQ46">
            <v>21</v>
          </cell>
          <cell r="BR46" t="str">
            <v>disabled</v>
          </cell>
          <cell r="BS46">
            <v>22</v>
          </cell>
          <cell r="BT46" t="str">
            <v>disabled</v>
          </cell>
          <cell r="BU46">
            <v>23</v>
          </cell>
          <cell r="BV46" t="str">
            <v>disabled</v>
          </cell>
          <cell r="BW46">
            <v>24</v>
          </cell>
          <cell r="BX46" t="str">
            <v>disabled</v>
          </cell>
          <cell r="BY46">
            <v>25</v>
          </cell>
          <cell r="BZ46" t="str">
            <v>disabled</v>
          </cell>
          <cell r="CA46">
            <v>26</v>
          </cell>
          <cell r="CB46" t="str">
            <v>disabled</v>
          </cell>
          <cell r="CC46">
            <v>27</v>
          </cell>
          <cell r="CD46" t="str">
            <v>disabled</v>
          </cell>
          <cell r="CE46">
            <v>28</v>
          </cell>
          <cell r="CF46" t="str">
            <v>disabled</v>
          </cell>
          <cell r="CG46">
            <v>45474</v>
          </cell>
        </row>
        <row r="47">
          <cell r="F47">
            <v>42</v>
          </cell>
          <cell r="G47" t="str">
            <v>IC-SA-NW-0015</v>
          </cell>
          <cell r="H47" t="str">
            <v>네트워크</v>
          </cell>
          <cell r="I47" t="str">
            <v>연료전지</v>
          </cell>
          <cell r="J47" t="str">
            <v>5단계 FAN OUT S/W(SEC)</v>
          </cell>
          <cell r="K47" t="str">
            <v>연료전지운영제어</v>
          </cell>
          <cell r="L47" t="str">
            <v>연료전지 5단계</v>
          </cell>
          <cell r="M47" t="str">
            <v>192.168.3.82</v>
          </cell>
          <cell r="N47" t="str">
            <v>중</v>
          </cell>
          <cell r="O47" t="str">
            <v>Cisco Catalyst  2960</v>
          </cell>
          <cell r="R47" t="str">
            <v>WS-C2960+24TC-L</v>
          </cell>
          <cell r="S47" t="str">
            <v>192.168.3.82</v>
          </cell>
          <cell r="T47" t="str">
            <v>255.255.254.0</v>
          </cell>
          <cell r="U47" t="str">
            <v>192.168.123.9</v>
          </cell>
          <cell r="V47" t="str">
            <v>sec-fanout-sw05</v>
          </cell>
          <cell r="W47" t="str">
            <v>15.2(1)E2</v>
          </cell>
          <cell r="X47" t="str">
            <v>C2960-LANBASEK9-M</v>
          </cell>
          <cell r="Y47" t="str">
            <v>V04</v>
          </cell>
          <cell r="Z47" t="str">
            <v>COM3K00BRF</v>
          </cell>
          <cell r="AA47" t="str">
            <v>SSH</v>
          </cell>
          <cell r="AB47" t="str">
            <v>192.168.2.200</v>
          </cell>
          <cell r="AC47">
            <v>1</v>
          </cell>
          <cell r="AD47" t="str">
            <v>connected</v>
          </cell>
          <cell r="AE47">
            <v>2</v>
          </cell>
          <cell r="AF47" t="str">
            <v>connected</v>
          </cell>
          <cell r="AG47">
            <v>3</v>
          </cell>
          <cell r="AH47" t="str">
            <v>disabled</v>
          </cell>
          <cell r="AI47">
            <v>4</v>
          </cell>
          <cell r="AJ47" t="str">
            <v>disabled</v>
          </cell>
          <cell r="AK47">
            <v>5</v>
          </cell>
          <cell r="AL47" t="str">
            <v>disabled</v>
          </cell>
          <cell r="AM47">
            <v>6</v>
          </cell>
          <cell r="AN47" t="str">
            <v>disabled</v>
          </cell>
          <cell r="AO47">
            <v>7</v>
          </cell>
          <cell r="AP47" t="str">
            <v>disabled</v>
          </cell>
          <cell r="AQ47">
            <v>8</v>
          </cell>
          <cell r="AR47" t="str">
            <v>disabled</v>
          </cell>
          <cell r="AS47">
            <v>9</v>
          </cell>
          <cell r="AT47" t="str">
            <v>connected</v>
          </cell>
          <cell r="AU47">
            <v>10</v>
          </cell>
          <cell r="AV47" t="str">
            <v>disabled</v>
          </cell>
          <cell r="AW47">
            <v>11</v>
          </cell>
          <cell r="AX47" t="str">
            <v>disabled</v>
          </cell>
          <cell r="AY47">
            <v>12</v>
          </cell>
          <cell r="AZ47" t="str">
            <v>disabled</v>
          </cell>
          <cell r="BA47">
            <v>13</v>
          </cell>
          <cell r="BB47" t="str">
            <v>connected</v>
          </cell>
          <cell r="BC47">
            <v>14</v>
          </cell>
          <cell r="BD47" t="str">
            <v>connected</v>
          </cell>
          <cell r="BE47">
            <v>15</v>
          </cell>
          <cell r="BF47" t="str">
            <v>disabled</v>
          </cell>
          <cell r="BG47">
            <v>16</v>
          </cell>
          <cell r="BH47" t="str">
            <v>disabled</v>
          </cell>
          <cell r="BI47">
            <v>17</v>
          </cell>
          <cell r="BJ47" t="str">
            <v>disabled</v>
          </cell>
          <cell r="BK47">
            <v>18</v>
          </cell>
          <cell r="BL47" t="str">
            <v>disabled</v>
          </cell>
          <cell r="BM47">
            <v>19</v>
          </cell>
          <cell r="BN47" t="str">
            <v>disabled</v>
          </cell>
          <cell r="BO47">
            <v>20</v>
          </cell>
          <cell r="BP47" t="str">
            <v>disabled</v>
          </cell>
          <cell r="BQ47">
            <v>21</v>
          </cell>
          <cell r="BR47" t="str">
            <v>disabled</v>
          </cell>
          <cell r="BS47">
            <v>22</v>
          </cell>
          <cell r="BT47" t="str">
            <v>disabled</v>
          </cell>
          <cell r="BU47">
            <v>23</v>
          </cell>
          <cell r="BV47" t="str">
            <v>disabled</v>
          </cell>
          <cell r="BW47">
            <v>24</v>
          </cell>
          <cell r="BX47" t="str">
            <v>disabled</v>
          </cell>
          <cell r="BY47">
            <v>25</v>
          </cell>
          <cell r="BZ47" t="str">
            <v>disabled</v>
          </cell>
          <cell r="CA47">
            <v>26</v>
          </cell>
          <cell r="CB47" t="str">
            <v>disabled</v>
          </cell>
          <cell r="CC47">
            <v>27</v>
          </cell>
          <cell r="CD47" t="str">
            <v>disabled</v>
          </cell>
          <cell r="CE47">
            <v>28</v>
          </cell>
          <cell r="CF47" t="str">
            <v>disabled</v>
          </cell>
          <cell r="CG47">
            <v>45474</v>
          </cell>
        </row>
        <row r="48">
          <cell r="F48">
            <v>43</v>
          </cell>
          <cell r="G48" t="str">
            <v>IC-SA-ETC-0001</v>
          </cell>
          <cell r="H48" t="str">
            <v>NTP</v>
          </cell>
          <cell r="I48" t="str">
            <v>연료전지</v>
          </cell>
          <cell r="J48" t="str">
            <v>NTP SERVER</v>
          </cell>
          <cell r="K48" t="str">
            <v>연료전지운영제어</v>
          </cell>
          <cell r="L48" t="str">
            <v>연료전지 1단계</v>
          </cell>
          <cell r="M48" t="str">
            <v>192.168.3.130</v>
          </cell>
          <cell r="N48" t="str">
            <v>중</v>
          </cell>
          <cell r="O48" t="str">
            <v>LANTIME H300</v>
          </cell>
          <cell r="CG48">
            <v>42887</v>
          </cell>
        </row>
        <row r="49">
          <cell r="F49">
            <v>44</v>
          </cell>
          <cell r="G49" t="str">
            <v>IC-SA-ETC-0002</v>
          </cell>
          <cell r="H49" t="str">
            <v>프린터</v>
          </cell>
          <cell r="I49" t="str">
            <v>연료전지</v>
          </cell>
          <cell r="J49" t="str">
            <v>1단계 프린터</v>
          </cell>
          <cell r="K49" t="str">
            <v>연료전지운영제어</v>
          </cell>
          <cell r="L49" t="str">
            <v>연료전지 1단계</v>
          </cell>
          <cell r="N49" t="str">
            <v>하</v>
          </cell>
          <cell r="O49" t="str">
            <v>HP M750</v>
          </cell>
          <cell r="CG49">
            <v>42887</v>
          </cell>
        </row>
        <row r="50">
          <cell r="F50">
            <v>45</v>
          </cell>
          <cell r="G50" t="str">
            <v>IC-SA-ETC-0003</v>
          </cell>
          <cell r="H50" t="str">
            <v>프린터</v>
          </cell>
          <cell r="I50" t="str">
            <v>연료전지</v>
          </cell>
          <cell r="J50" t="str">
            <v>2단계 프린터</v>
          </cell>
          <cell r="K50" t="str">
            <v>연료전지운영제어</v>
          </cell>
          <cell r="L50" t="str">
            <v>연료전지 2단계</v>
          </cell>
          <cell r="N50" t="str">
            <v>하</v>
          </cell>
          <cell r="O50" t="str">
            <v>HP M750</v>
          </cell>
          <cell r="CG50">
            <v>43497</v>
          </cell>
        </row>
        <row r="51">
          <cell r="F51">
            <v>46</v>
          </cell>
          <cell r="G51" t="str">
            <v>IC-SA-ETC-0004</v>
          </cell>
          <cell r="H51" t="str">
            <v>프린터</v>
          </cell>
          <cell r="I51" t="str">
            <v>연료전지</v>
          </cell>
          <cell r="J51" t="str">
            <v>3단계 프린터</v>
          </cell>
          <cell r="K51" t="str">
            <v>연료전지운영제어</v>
          </cell>
          <cell r="L51" t="str">
            <v>연료전지 3단계</v>
          </cell>
          <cell r="M51" t="str">
            <v>192.168.2.106</v>
          </cell>
          <cell r="N51" t="str">
            <v>하</v>
          </cell>
          <cell r="O51" t="str">
            <v>HP M750</v>
          </cell>
          <cell r="CG51">
            <v>43739</v>
          </cell>
        </row>
        <row r="52">
          <cell r="F52">
            <v>47</v>
          </cell>
          <cell r="G52" t="str">
            <v>IC-SA-ETC-0005</v>
          </cell>
          <cell r="H52" t="str">
            <v>프린터</v>
          </cell>
          <cell r="I52" t="str">
            <v>연료전지</v>
          </cell>
          <cell r="J52" t="str">
            <v>4단계 프린터</v>
          </cell>
          <cell r="K52" t="str">
            <v>연료전지운영제어</v>
          </cell>
          <cell r="L52" t="str">
            <v>연료전지 4단계</v>
          </cell>
          <cell r="M52" t="str">
            <v>192.168.2.110</v>
          </cell>
          <cell r="N52" t="str">
            <v>하</v>
          </cell>
          <cell r="O52" t="str">
            <v>HP M750</v>
          </cell>
          <cell r="CG52">
            <v>44228</v>
          </cell>
        </row>
        <row r="53">
          <cell r="F53">
            <v>48</v>
          </cell>
          <cell r="G53" t="str">
            <v>IC-SA-ETC-0006</v>
          </cell>
          <cell r="H53" t="str">
            <v>프린터</v>
          </cell>
          <cell r="I53" t="str">
            <v>연료전지</v>
          </cell>
          <cell r="J53" t="str">
            <v>5단계 프린터</v>
          </cell>
          <cell r="K53" t="str">
            <v>연료전지운영제어</v>
          </cell>
          <cell r="L53" t="str">
            <v>연료전지 5단계</v>
          </cell>
          <cell r="N53" t="str">
            <v>하</v>
          </cell>
          <cell r="O53" t="str">
            <v>HP M750</v>
          </cell>
          <cell r="CG53">
            <v>45474</v>
          </cell>
        </row>
        <row r="54">
          <cell r="F54">
            <v>49</v>
          </cell>
          <cell r="G54" t="str">
            <v>IC-SA-ETC-0007</v>
          </cell>
          <cell r="H54" t="str">
            <v>프린터</v>
          </cell>
          <cell r="I54" t="str">
            <v>연료전지</v>
          </cell>
          <cell r="J54" t="str">
            <v>통합제어실 프린터</v>
          </cell>
          <cell r="K54" t="str">
            <v>연료전지운영제어</v>
          </cell>
          <cell r="L54" t="str">
            <v>연료전지 통합제어실</v>
          </cell>
          <cell r="M54" t="str">
            <v>192.168.3.191</v>
          </cell>
          <cell r="N54" t="str">
            <v>하</v>
          </cell>
          <cell r="O54" t="str">
            <v>HP M750</v>
          </cell>
          <cell r="CG54">
            <v>42887</v>
          </cell>
        </row>
        <row r="55">
          <cell r="F55">
            <v>50</v>
          </cell>
          <cell r="G55" t="str">
            <v>IC-SA-ETC-0008</v>
          </cell>
          <cell r="H55" t="str">
            <v>프린터</v>
          </cell>
          <cell r="I55" t="str">
            <v>연료전지</v>
          </cell>
          <cell r="J55" t="str">
            <v>통합제어실 프린터</v>
          </cell>
          <cell r="K55" t="str">
            <v>연료전지운영제어</v>
          </cell>
          <cell r="L55" t="str">
            <v>연료전지 통합제어실</v>
          </cell>
          <cell r="N55" t="str">
            <v>하</v>
          </cell>
          <cell r="O55" t="str">
            <v>HP M750</v>
          </cell>
          <cell r="CG55">
            <v>43497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8D84-661A-4AC9-B842-A2C53E7F1520}">
  <dimension ref="A1:G35"/>
  <sheetViews>
    <sheetView tabSelected="1" workbookViewId="0">
      <selection activeCell="J18" sqref="J18"/>
    </sheetView>
  </sheetViews>
  <sheetFormatPr defaultRowHeight="16.5" x14ac:dyDescent="0.3"/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2"/>
      <c r="B2" s="2"/>
      <c r="C2" s="2"/>
      <c r="D2" s="3"/>
      <c r="E2" s="4"/>
      <c r="F2" s="4"/>
      <c r="G2" s="5"/>
    </row>
    <row r="3" spans="1:7" ht="21.75" x14ac:dyDescent="0.3">
      <c r="A3" s="6" t="e">
        <f>VLOOKUP(I1,[1]DB!$F:$Q,5,0)</f>
        <v>#N/A</v>
      </c>
      <c r="B3" s="6"/>
      <c r="C3" s="6"/>
      <c r="D3" s="6"/>
      <c r="E3" s="6"/>
      <c r="F3" s="6"/>
      <c r="G3" s="6"/>
    </row>
    <row r="4" spans="1:7" x14ac:dyDescent="0.3">
      <c r="A4" s="2"/>
      <c r="B4" s="2"/>
      <c r="C4" s="2"/>
      <c r="D4" s="5"/>
      <c r="E4" s="7"/>
      <c r="F4" s="7"/>
      <c r="G4" s="7"/>
    </row>
    <row r="5" spans="1:7" x14ac:dyDescent="0.3">
      <c r="A5" s="8" t="s">
        <v>1</v>
      </c>
      <c r="B5" s="9" t="e">
        <f>VLOOKUP(I1,[1]DB!$F:$Q,2,0)</f>
        <v>#N/A</v>
      </c>
      <c r="C5" s="10" t="e">
        <f>"설치장소 : "&amp;VLOOKUP(I1,[1]DB!$F:$Q,7,0)</f>
        <v>#N/A</v>
      </c>
      <c r="D5" s="10"/>
      <c r="E5" s="10"/>
      <c r="F5" s="11" t="s">
        <v>2</v>
      </c>
      <c r="G5" s="12">
        <v>45292</v>
      </c>
    </row>
    <row r="6" spans="1:7" x14ac:dyDescent="0.3">
      <c r="A6" s="13" t="s">
        <v>3</v>
      </c>
      <c r="B6" s="14" t="s">
        <v>4</v>
      </c>
      <c r="C6" s="14"/>
      <c r="D6" s="14"/>
      <c r="E6" s="14"/>
      <c r="F6" s="14"/>
      <c r="G6" s="13" t="s">
        <v>5</v>
      </c>
    </row>
    <row r="7" spans="1:7" x14ac:dyDescent="0.3">
      <c r="A7" s="15" t="s">
        <v>6</v>
      </c>
      <c r="B7" s="16" t="e">
        <f>IF(VLOOKUP(I1,[1]DB!$F:$Q,10,0)&lt;&gt;0,VLOOKUP(I1,[1]DB!$F:$Q,10,0),"")</f>
        <v>#N/A</v>
      </c>
      <c r="C7" s="16"/>
      <c r="D7" s="16"/>
      <c r="E7" s="16"/>
      <c r="F7" s="16"/>
      <c r="G7" s="17"/>
    </row>
    <row r="8" spans="1:7" x14ac:dyDescent="0.3">
      <c r="A8" s="15" t="s">
        <v>7</v>
      </c>
      <c r="B8" s="18" t="e">
        <f>IF(VLOOKUP(I1,[1]DB!$F:$BF,14)&lt;&gt;0,VLOOKUP(I1,[1]DB!$F:$BF,14),"")</f>
        <v>#N/A</v>
      </c>
      <c r="C8" s="18"/>
      <c r="D8" s="18"/>
      <c r="E8" s="18"/>
      <c r="F8" s="18"/>
      <c r="G8" s="17"/>
    </row>
    <row r="9" spans="1:7" x14ac:dyDescent="0.3">
      <c r="A9" s="15" t="s">
        <v>8</v>
      </c>
      <c r="B9" s="16" t="e">
        <f>IF(VLOOKUP(I1,[1]DB!$F:$BF,15)&lt;&gt;0,VLOOKUP(I1,[1]DB!$F:$BF,15),"")</f>
        <v>#N/A</v>
      </c>
      <c r="C9" s="16"/>
      <c r="D9" s="16"/>
      <c r="E9" s="16"/>
      <c r="F9" s="16"/>
      <c r="G9" s="17"/>
    </row>
    <row r="10" spans="1:7" x14ac:dyDescent="0.3">
      <c r="A10" s="15" t="s">
        <v>9</v>
      </c>
      <c r="B10" s="16" t="e">
        <f>IF(VLOOKUP(I1,[1]DB!$F:$BF,16)&lt;&gt;0,VLOOKUP(I1,[1]DB!$F:$BF,16),"")</f>
        <v>#N/A</v>
      </c>
      <c r="C10" s="16"/>
      <c r="D10" s="16"/>
      <c r="E10" s="16"/>
      <c r="F10" s="16"/>
      <c r="G10" s="17"/>
    </row>
    <row r="11" spans="1:7" x14ac:dyDescent="0.3">
      <c r="A11" s="19" t="s">
        <v>10</v>
      </c>
      <c r="B11" s="16" t="s">
        <v>11</v>
      </c>
      <c r="C11" s="16"/>
      <c r="D11" s="16"/>
      <c r="E11" s="16" t="s">
        <v>12</v>
      </c>
      <c r="F11" s="16"/>
      <c r="G11" s="17"/>
    </row>
    <row r="12" spans="1:7" x14ac:dyDescent="0.3">
      <c r="A12" s="19"/>
      <c r="B12" s="16" t="e">
        <f>IF(VLOOKUP(I1,[1]DB!$F:$BF,17)&lt;&gt;0,VLOOKUP(I1,[1]DB!$F:$BF,17),"")</f>
        <v>#N/A</v>
      </c>
      <c r="C12" s="16"/>
      <c r="D12" s="16"/>
      <c r="E12" s="16" t="e">
        <f>IF(VLOOKUP(I1,[1]DB!$F:$BF,18)&lt;&gt;0,VLOOKUP(I1,[1]DB!$F:$BF,18),"")</f>
        <v>#N/A</v>
      </c>
      <c r="F12" s="16"/>
      <c r="G12" s="17"/>
    </row>
    <row r="13" spans="1:7" x14ac:dyDescent="0.3">
      <c r="A13" s="19"/>
      <c r="B13" s="16" t="e">
        <f>IF(VLOOKUP(I1,[1]DB!$F:$BF,19)&lt;&gt;0,VLOOKUP(I1,[1]DB!$F:$BF,19),"")</f>
        <v>#N/A</v>
      </c>
      <c r="C13" s="16"/>
      <c r="D13" s="16"/>
      <c r="E13" s="16" t="e">
        <f>IF(VLOOKUP(I1,[1]DB!$F:$BF,20)&lt;&gt;0,VLOOKUP(I1,[1]DB!$F:$BF,20),"")</f>
        <v>#N/A</v>
      </c>
      <c r="F13" s="16"/>
      <c r="G13" s="17"/>
    </row>
    <row r="14" spans="1:7" x14ac:dyDescent="0.3">
      <c r="A14" s="19"/>
      <c r="B14" s="16" t="e">
        <f>IF(VLOOKUP(I1,[1]DB!$F:$BF,21)&lt;&gt;0,VLOOKUP(I1,[1]DB!$F:$BF,21),"")</f>
        <v>#N/A</v>
      </c>
      <c r="C14" s="16"/>
      <c r="D14" s="16"/>
      <c r="E14" s="20" t="e">
        <f>IF(VLOOKUP(I1,[1]DB!$F:$BF,22)&lt;&gt;0,VLOOKUP(I1,[1]DB!$F:$BF,22),"")</f>
        <v>#N/A</v>
      </c>
      <c r="F14" s="21"/>
      <c r="G14" s="17"/>
    </row>
    <row r="15" spans="1:7" x14ac:dyDescent="0.3">
      <c r="A15" s="19"/>
      <c r="B15" s="16" t="e">
        <f>IF(VLOOKUP(I1,[1]DB!$F:$BF,23)&lt;&gt;0,VLOOKUP(I1,[1]DB!$F:$BF,23),"")</f>
        <v>#N/A</v>
      </c>
      <c r="C15" s="16"/>
      <c r="D15" s="16"/>
      <c r="E15" s="22" t="e">
        <f>IF(VLOOKUP(I1,[1]DB!$F:$BF,24)&lt;&gt;0,VLOOKUP(I1,[1]DB!$F:$BF,24),"")</f>
        <v>#N/A</v>
      </c>
      <c r="F15" s="22"/>
      <c r="G15" s="17"/>
    </row>
    <row r="16" spans="1:7" x14ac:dyDescent="0.3">
      <c r="A16" s="23" t="s">
        <v>13</v>
      </c>
      <c r="B16" s="24" t="s">
        <v>14</v>
      </c>
      <c r="C16" s="25" t="e">
        <f>IF(VLOOKUP(I1,[1]DB!$F:$BF,25)&lt;&gt;0,VLOOKUP(I1,[1]DB!$F:$BF,25),"")</f>
        <v>#N/A</v>
      </c>
      <c r="D16" s="25"/>
      <c r="E16" s="26"/>
      <c r="F16" s="27"/>
      <c r="G16" s="17"/>
    </row>
    <row r="17" spans="1:7" x14ac:dyDescent="0.3">
      <c r="A17" s="28"/>
      <c r="B17" s="24" t="s">
        <v>15</v>
      </c>
      <c r="C17" s="25" t="e">
        <f>IF(VLOOKUP(I1,[1]DB!$F:$BF,26)&lt;&gt;0,VLOOKUP(I1,[1]DB!$F:$BF,26),"")</f>
        <v>#N/A</v>
      </c>
      <c r="D17" s="25"/>
      <c r="E17" s="26"/>
      <c r="F17" s="27"/>
      <c r="G17" s="17"/>
    </row>
    <row r="18" spans="1:7" x14ac:dyDescent="0.3">
      <c r="A18" s="28"/>
      <c r="B18" s="24" t="s">
        <v>16</v>
      </c>
      <c r="C18" s="17" t="e">
        <f>IF(VLOOKUP(I1,[1]DB!$F:$BF,27)&lt;&gt;0,VLOOKUP(I1,[1]DB!$F:$BF,27),"")</f>
        <v>#N/A</v>
      </c>
      <c r="D18" s="17"/>
      <c r="E18" s="29"/>
      <c r="F18" s="30"/>
      <c r="G18" s="17"/>
    </row>
    <row r="19" spans="1:7" ht="21" x14ac:dyDescent="0.3">
      <c r="A19" s="28"/>
      <c r="B19" s="26" t="s">
        <v>17</v>
      </c>
      <c r="C19" s="17" t="e">
        <f>IF(VLOOKUP(I1,[1]DB!$F:$BF,28)&lt;&gt;0,VLOOKUP(I1,[1]DB!$F:$BF,28),"")</f>
        <v>#N/A</v>
      </c>
      <c r="D19" s="17"/>
      <c r="E19" s="29"/>
      <c r="F19" s="30"/>
      <c r="G19" s="17"/>
    </row>
    <row r="20" spans="1:7" x14ac:dyDescent="0.3">
      <c r="A20" s="19" t="s">
        <v>18</v>
      </c>
      <c r="B20" s="31" t="e">
        <f>IF(VLOOKUP(I1,[1]DB!$F:$BF,29)&lt;&gt;0,VLOOKUP(I1,[1]DB!$F:$BF,29)&amp;" / "&amp;VLOOKUP(I1,[1]DB!$F:$BF,30),"")</f>
        <v>#N/A</v>
      </c>
      <c r="C20" s="31"/>
      <c r="D20" s="31"/>
      <c r="E20" s="31"/>
      <c r="F20" s="31"/>
      <c r="G20" s="17"/>
    </row>
    <row r="21" spans="1:7" x14ac:dyDescent="0.3">
      <c r="A21" s="19"/>
      <c r="B21" s="31" t="e">
        <f>IF(VLOOKUP(I1,[1]DB!$F:$BF,31)&lt;&gt;0,VLOOKUP(I1,[1]DB!$F:$BF,31)&amp;" / "&amp;VLOOKUP(I1,[1]DB!$F:$BF,32),"")</f>
        <v>#N/A</v>
      </c>
      <c r="C21" s="31"/>
      <c r="D21" s="31"/>
      <c r="E21" s="31"/>
      <c r="F21" s="31"/>
      <c r="G21" s="17"/>
    </row>
    <row r="22" spans="1:7" x14ac:dyDescent="0.3">
      <c r="A22" s="19"/>
      <c r="B22" s="32" t="e">
        <f>IF(VLOOKUP(I1,[1]DB!$F:$BF,33)&lt;&gt;0,VLOOKUP(I1,[1]DB!$F:$BF,33)&amp;" / "&amp;VLOOKUP(I1,[1]DB!$F:$BF,34),"")</f>
        <v>#N/A</v>
      </c>
      <c r="C22" s="32"/>
      <c r="D22" s="32"/>
      <c r="E22" s="32"/>
      <c r="F22" s="32"/>
      <c r="G22" s="17"/>
    </row>
    <row r="23" spans="1:7" x14ac:dyDescent="0.3">
      <c r="A23" s="19"/>
      <c r="B23" s="33" t="e">
        <f>IF(VLOOKUP(I1,[1]DB!$F:$BF,35)&lt;&gt;0,VLOOKUP(I1,[1]DB!$F:$BF,35)&amp;" / "&amp;VLOOKUP(I1,[1]DB!$F:$BF,36),"")</f>
        <v>#N/A</v>
      </c>
      <c r="C23" s="34"/>
      <c r="D23" s="34"/>
      <c r="E23" s="34"/>
      <c r="F23" s="34"/>
      <c r="G23" s="17"/>
    </row>
    <row r="24" spans="1:7" ht="22.5" x14ac:dyDescent="0.3">
      <c r="A24" s="15" t="s">
        <v>19</v>
      </c>
      <c r="B24" s="16" t="e">
        <f>IF(VLOOKUP(I1,[1]DB!$F:$BF,37)&lt;&gt;0,VLOOKUP(I1,[1]DB!$F:$BF,37),"")</f>
        <v>#N/A</v>
      </c>
      <c r="C24" s="16"/>
      <c r="D24" s="16"/>
      <c r="E24" s="16"/>
      <c r="F24" s="16"/>
      <c r="G24" s="17"/>
    </row>
    <row r="25" spans="1:7" x14ac:dyDescent="0.3">
      <c r="A25" s="15" t="s">
        <v>20</v>
      </c>
      <c r="B25" s="16" t="e">
        <f>IF(VLOOKUP(I1,[1]DB!$F:$BF,38)&lt;&gt;0,VLOOKUP(I1,[1]DB!$F:$BF,38),"")</f>
        <v>#N/A</v>
      </c>
      <c r="C25" s="16"/>
      <c r="D25" s="16"/>
      <c r="E25" s="16"/>
      <c r="F25" s="16"/>
      <c r="G25" s="17"/>
    </row>
    <row r="26" spans="1:7" x14ac:dyDescent="0.3">
      <c r="A26" s="15" t="s">
        <v>21</v>
      </c>
      <c r="B26" s="16" t="e">
        <f>IF(VLOOKUP(I1,[1]DB!$F:$BF,39)&lt;&gt;0,VLOOKUP(I1,[1]DB!$F:$BF,39),"")</f>
        <v>#N/A</v>
      </c>
      <c r="C26" s="16"/>
      <c r="D26" s="16"/>
      <c r="E26" s="16"/>
      <c r="F26" s="16"/>
      <c r="G26" s="17"/>
    </row>
    <row r="27" spans="1:7" x14ac:dyDescent="0.3">
      <c r="A27" s="35" t="s">
        <v>22</v>
      </c>
      <c r="B27" s="16" t="e">
        <f>IF(VLOOKUP(I1,[1]DB!$F:$BF,40)&lt;&gt;0,VLOOKUP(I1,[1]DB!$F:$BF,40),"")</f>
        <v>#N/A</v>
      </c>
      <c r="C27" s="16"/>
      <c r="D27" s="16"/>
      <c r="E27" s="16"/>
      <c r="F27" s="16"/>
      <c r="G27" s="17"/>
    </row>
    <row r="28" spans="1:7" x14ac:dyDescent="0.3">
      <c r="A28" s="15" t="s">
        <v>23</v>
      </c>
      <c r="B28" s="16" t="e">
        <f>IF(VLOOKUP(I1,[1]DB!$F:$BF,41)&lt;&gt;0,VLOOKUP(I1,[1]DB!$F:$BF,41),"")</f>
        <v>#N/A</v>
      </c>
      <c r="C28" s="16"/>
      <c r="D28" s="16"/>
      <c r="E28" s="16"/>
      <c r="F28" s="16"/>
      <c r="G28" s="17"/>
    </row>
    <row r="29" spans="1:7" x14ac:dyDescent="0.3">
      <c r="A29" s="15" t="s">
        <v>24</v>
      </c>
      <c r="B29" s="16" t="e">
        <f>IF(VLOOKUP(I1,[1]DB!$F:$BF,42)&lt;&gt;0,VLOOKUP(I1,[1]DB!$F:$BF,42),"")</f>
        <v>#N/A</v>
      </c>
      <c r="C29" s="16"/>
      <c r="D29" s="16"/>
      <c r="E29" s="16"/>
      <c r="F29" s="16"/>
      <c r="G29" s="17"/>
    </row>
    <row r="30" spans="1:7" x14ac:dyDescent="0.3">
      <c r="A30" s="15" t="s">
        <v>25</v>
      </c>
      <c r="B30" s="16" t="e">
        <f>IF(VLOOKUP(I1,[1]DB!$F:$BF,43)&lt;&gt;0,VLOOKUP(I1,[1]DB!$F:$BF,43)&amp;" , "&amp;VLOOKUP(I1,[1]DB!$F:$BF,44),"")</f>
        <v>#N/A</v>
      </c>
      <c r="C30" s="16"/>
      <c r="D30" s="16"/>
      <c r="E30" s="16"/>
      <c r="F30" s="16"/>
      <c r="G30" s="17"/>
    </row>
    <row r="31" spans="1:7" x14ac:dyDescent="0.3">
      <c r="A31" s="15" t="s">
        <v>26</v>
      </c>
      <c r="B31" s="16" t="e">
        <f>IF(VLOOKUP(I1,[1]DB!$F:$BF,45)&lt;&gt;0,VLOOKUP(I1,[1]DB!$F:$BF,45)&amp;" / "&amp;VLOOKUP(I1,[1]DB!$F:$BF,46),"")</f>
        <v>#N/A</v>
      </c>
      <c r="C31" s="16"/>
      <c r="D31" s="16"/>
      <c r="E31" s="16"/>
      <c r="F31" s="16"/>
      <c r="G31" s="17"/>
    </row>
    <row r="32" spans="1:7" x14ac:dyDescent="0.3">
      <c r="A32" s="35" t="s">
        <v>27</v>
      </c>
      <c r="B32" s="16" t="e">
        <f>IF(VLOOKUP(I1,[1]DB!$F:$BF,51)&lt;&gt;0,VLOOKUP(I1,[1]DB!$F:$BF,51),"")</f>
        <v>#N/A</v>
      </c>
      <c r="C32" s="16"/>
      <c r="D32" s="16"/>
      <c r="E32" s="16"/>
      <c r="F32" s="16"/>
      <c r="G32" s="17"/>
    </row>
    <row r="33" spans="1:7" x14ac:dyDescent="0.3">
      <c r="A33" s="15" t="s">
        <v>28</v>
      </c>
      <c r="B33" s="16" t="e">
        <f>IF(VLOOKUP(I1,[1]DB!$F:$BF,52)&lt;&gt;0,VLOOKUP(I1,[1]DB!$F:$BF,52),"")</f>
        <v>#N/A</v>
      </c>
      <c r="C33" s="16"/>
      <c r="D33" s="16"/>
      <c r="E33" s="16"/>
      <c r="F33" s="16"/>
      <c r="G33" s="17"/>
    </row>
    <row r="34" spans="1:7" x14ac:dyDescent="0.3">
      <c r="A34" s="15" t="s">
        <v>29</v>
      </c>
      <c r="B34" s="36" t="e">
        <f>IF(VLOOKUP(I1,[1]DB!$F:$CG,80)&lt;&gt;0,VLOOKUP(I1,[1]DB!$F:$CG,80),"")</f>
        <v>#N/A</v>
      </c>
      <c r="C34" s="37"/>
      <c r="D34" s="37"/>
      <c r="E34" s="37"/>
      <c r="F34" s="38"/>
      <c r="G34" s="17"/>
    </row>
    <row r="35" spans="1:7" x14ac:dyDescent="0.3">
      <c r="A35" s="39" t="s">
        <v>30</v>
      </c>
      <c r="B35" s="18"/>
      <c r="C35" s="18"/>
      <c r="D35" s="18"/>
      <c r="E35" s="18"/>
      <c r="F35" s="18"/>
      <c r="G35" s="17"/>
    </row>
  </sheetData>
  <mergeCells count="42">
    <mergeCell ref="B31:F31"/>
    <mergeCell ref="B32:F32"/>
    <mergeCell ref="B33:F33"/>
    <mergeCell ref="B34:F34"/>
    <mergeCell ref="B35:F35"/>
    <mergeCell ref="B25:F25"/>
    <mergeCell ref="B26:F26"/>
    <mergeCell ref="B27:F27"/>
    <mergeCell ref="B28:F28"/>
    <mergeCell ref="B29:F29"/>
    <mergeCell ref="B30:F30"/>
    <mergeCell ref="A20:A23"/>
    <mergeCell ref="B20:F20"/>
    <mergeCell ref="B21:F21"/>
    <mergeCell ref="B22:F22"/>
    <mergeCell ref="B23:F23"/>
    <mergeCell ref="B24:F24"/>
    <mergeCell ref="B14:D14"/>
    <mergeCell ref="E14:F14"/>
    <mergeCell ref="B15:D15"/>
    <mergeCell ref="E15:F15"/>
    <mergeCell ref="A16:A19"/>
    <mergeCell ref="C16:D16"/>
    <mergeCell ref="C17:D17"/>
    <mergeCell ref="C18:D18"/>
    <mergeCell ref="C19:D19"/>
    <mergeCell ref="B11:D11"/>
    <mergeCell ref="E11:F11"/>
    <mergeCell ref="B12:D12"/>
    <mergeCell ref="E12:F12"/>
    <mergeCell ref="B13:D13"/>
    <mergeCell ref="E13:F13"/>
    <mergeCell ref="A1:G1"/>
    <mergeCell ref="A3:G3"/>
    <mergeCell ref="C5:E5"/>
    <mergeCell ref="B6:F6"/>
    <mergeCell ref="B7:F7"/>
    <mergeCell ref="G7:G35"/>
    <mergeCell ref="B8:F8"/>
    <mergeCell ref="B9:F9"/>
    <mergeCell ref="B10:F10"/>
    <mergeCell ref="A11:A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호형 상</dc:creator>
  <cp:lastModifiedBy>호형 상</cp:lastModifiedBy>
  <dcterms:created xsi:type="dcterms:W3CDTF">2026-03-24T12:22:00Z</dcterms:created>
  <dcterms:modified xsi:type="dcterms:W3CDTF">2026-03-24T12:22:27Z</dcterms:modified>
</cp:coreProperties>
</file>